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HP\Desktop\data anaylsis with bliss analysis\medical procurement dataset\"/>
    </mc:Choice>
  </mc:AlternateContent>
  <xr:revisionPtr revIDLastSave="0" documentId="13_ncr:1_{BA0D5B1D-D01A-4B11-AB16-3D97C8C3F686}" xr6:coauthVersionLast="47" xr6:coauthVersionMax="47" xr10:uidLastSave="{00000000-0000-0000-0000-000000000000}"/>
  <bookViews>
    <workbookView xWindow="-120" yWindow="-120" windowWidth="29040" windowHeight="16440" activeTab="5" xr2:uid="{364EA5A6-B0A1-47B4-A576-AEFB2E1FF9C7}"/>
  </bookViews>
  <sheets>
    <sheet name="Date" sheetId="3" r:id="rId1"/>
    <sheet name="Sheet1" sheetId="6" r:id="rId2"/>
    <sheet name="Procurement Data" sheetId="2" r:id="rId3"/>
    <sheet name="pivot analyser" sheetId="4" r:id="rId4"/>
    <sheet name="dashboard" sheetId="1" r:id="rId5"/>
    <sheet name="Insight and Recommendations" sheetId="5" r:id="rId6"/>
  </sheets>
  <definedNames>
    <definedName name="_xlchart.v2.0" hidden="1">'pivot analyser'!$J$68:$J$72</definedName>
    <definedName name="_xlchart.v2.1" hidden="1">'pivot analyser'!$K$68:$K$72</definedName>
    <definedName name="_xlcn.WorksheetConnection_medicalprocurementdatasetcleaned.xlsxDate1" hidden="1">Date[]</definedName>
    <definedName name="_xlcn.WorksheetConnection_medicalprocurementdatasetcleaned.xlsxProcurement_Data1" hidden="1">Procurement_Data[]</definedName>
    <definedName name="ExternalData_1" localSheetId="2" hidden="1">'Procurement Data'!$A$1:$N$261</definedName>
    <definedName name="ExternalData_2" localSheetId="0" hidden="1">Date!$A$1:$E$20</definedName>
    <definedName name="Slicer_Department">#N/A</definedName>
    <definedName name="Slicer_State">#N/A</definedName>
  </definedNames>
  <calcPr calcId="191029"/>
  <pivotCaches>
    <pivotCache cacheId="1728" r:id="rId7"/>
    <pivotCache cacheId="1793" r:id="rId8"/>
    <pivotCache cacheId="1796" r:id="rId9"/>
    <pivotCache cacheId="1799" r:id="rId10"/>
    <pivotCache cacheId="1802" r:id="rId11"/>
    <pivotCache cacheId="1805" r:id="rId12"/>
    <pivotCache cacheId="1808" r:id="rId13"/>
    <pivotCache cacheId="1811" r:id="rId14"/>
    <pivotCache cacheId="1814" r:id="rId15"/>
    <pivotCache cacheId="1817" r:id="rId16"/>
    <pivotCache cacheId="1820" r:id="rId17"/>
    <pivotCache cacheId="1823" r:id="rId18"/>
    <pivotCache cacheId="1826" r:id="rId19"/>
    <pivotCache cacheId="1829" r:id="rId20"/>
    <pivotCache cacheId="1832" r:id="rId21"/>
    <pivotCache cacheId="1835" r:id="rId22"/>
    <pivotCache cacheId="1838" r:id="rId23"/>
    <pivotCache cacheId="1841" r:id="rId24"/>
    <pivotCache cacheId="1844" r:id="rId25"/>
    <pivotCache cacheId="1847" r:id="rId26"/>
  </pivotCaches>
  <extLst>
    <ext xmlns:x14="http://schemas.microsoft.com/office/spreadsheetml/2009/9/main" uri="{876F7934-8845-4945-9796-88D515C7AA90}">
      <x14:pivotCaches>
        <pivotCache cacheId="1674"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curement_Data" name="Procurement_Data" connection="WorksheetConnection_medical procurement dataset(cleaned).xlsx!Procurement_Data"/>
          <x15:modelTable id="Date" name="Date" connection="WorksheetConnection_medical procurement dataset(cleaned).xlsx!Date"/>
        </x15:modelTables>
        <x15:modelRelationships>
          <x15:modelRelationship fromTable="Procurement_Data" fromColumn="Date Delivered" toTable="Date" toColumn="Date Delivere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5" i="4" l="1"/>
  <c r="E85" i="4"/>
  <c r="D86" i="4"/>
  <c r="E86" i="4"/>
  <c r="D87" i="4"/>
  <c r="E87" i="4"/>
  <c r="D88" i="4"/>
  <c r="E88" i="4"/>
  <c r="E84" i="4"/>
  <c r="D84" i="4"/>
  <c r="H38" i="4"/>
  <c r="H39" i="4"/>
  <c r="H40" i="4"/>
  <c r="U30" i="4"/>
  <c r="V30" i="4"/>
  <c r="U31" i="4"/>
  <c r="V31" i="4"/>
  <c r="U32" i="4"/>
  <c r="V32" i="4"/>
  <c r="U33" i="4"/>
  <c r="V33" i="4"/>
  <c r="V29" i="4"/>
  <c r="U29" i="4"/>
  <c r="U4" i="4"/>
  <c r="V4" i="4"/>
  <c r="U5" i="4"/>
  <c r="V5" i="4"/>
  <c r="U6" i="4"/>
  <c r="V6" i="4"/>
  <c r="U7" i="4"/>
  <c r="V7" i="4"/>
  <c r="V3" i="4"/>
  <c r="U3" i="4"/>
  <c r="U21" i="4"/>
  <c r="V21" i="4"/>
  <c r="U22" i="4"/>
  <c r="V22" i="4"/>
  <c r="U23" i="4"/>
  <c r="V23" i="4"/>
  <c r="V20" i="4"/>
  <c r="U20" i="4"/>
  <c r="A74" i="4"/>
  <c r="B74" i="4"/>
  <c r="A75" i="4"/>
  <c r="B75" i="4"/>
  <c r="A76" i="4"/>
  <c r="B76" i="4"/>
  <c r="A77" i="4"/>
  <c r="B77" i="4"/>
  <c r="B73" i="4"/>
  <c r="A73" i="4"/>
  <c r="F60" i="4"/>
  <c r="G60" i="4"/>
  <c r="F61" i="4"/>
  <c r="G61" i="4"/>
  <c r="F62" i="4"/>
  <c r="G62" i="4"/>
  <c r="F63" i="4"/>
  <c r="G63" i="4"/>
  <c r="F64" i="4"/>
  <c r="G64" i="4"/>
  <c r="F65" i="4"/>
  <c r="G65" i="4"/>
  <c r="F66" i="4"/>
  <c r="G66" i="4"/>
  <c r="F67" i="4"/>
  <c r="G67" i="4"/>
  <c r="F68" i="4"/>
  <c r="G68" i="4"/>
  <c r="G59" i="4"/>
  <c r="F59" i="4"/>
  <c r="L48" i="4"/>
  <c r="M48" i="4"/>
  <c r="L49" i="4"/>
  <c r="M49" i="4"/>
  <c r="L50" i="4"/>
  <c r="M50" i="4"/>
  <c r="L51" i="4"/>
  <c r="M51" i="4"/>
  <c r="M47" i="4"/>
  <c r="L47" i="4"/>
  <c r="J69" i="4"/>
  <c r="K69" i="4"/>
  <c r="J70" i="4"/>
  <c r="K70" i="4"/>
  <c r="J71" i="4"/>
  <c r="K71" i="4"/>
  <c r="J72" i="4"/>
  <c r="K72" i="4"/>
  <c r="K68" i="4"/>
  <c r="J68" i="4"/>
  <c r="C21" i="4"/>
  <c r="D21" i="4"/>
  <c r="C22" i="4"/>
  <c r="D22" i="4"/>
  <c r="C23" i="4"/>
  <c r="D23" i="4"/>
  <c r="C24" i="4"/>
  <c r="D24" i="4"/>
  <c r="D20" i="4"/>
  <c r="C20" i="4"/>
  <c r="I39" i="4"/>
  <c r="I40" i="4"/>
  <c r="H41" i="4"/>
  <c r="I41" i="4"/>
  <c r="H42" i="4"/>
  <c r="I42" i="4"/>
  <c r="H43" i="4"/>
  <c r="I43" i="4"/>
  <c r="I38" i="4"/>
  <c r="E38" i="4"/>
  <c r="F38" i="4"/>
  <c r="E39" i="4"/>
  <c r="F39" i="4"/>
  <c r="E40" i="4"/>
  <c r="F40" i="4"/>
  <c r="E41" i="4"/>
  <c r="F41" i="4"/>
  <c r="E42" i="4"/>
  <c r="F42" i="4"/>
  <c r="F37" i="4"/>
  <c r="E37" i="4"/>
  <c r="V6" i="1"/>
  <c r="Q6" i="1"/>
  <c r="N6" i="1"/>
  <c r="J6" i="1"/>
  <c r="F6" i="1"/>
  <c r="B6" i="1"/>
  <c r="C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15970F-645E-41FB-BFA5-AB5D5955D4B5}" keepAlive="1" name="Query - Date" description="Connection to the 'Date' query in the workbook." type="5" refreshedVersion="8" background="1" saveData="1">
    <dbPr connection="Provider=Microsoft.Mashup.OleDb.1;Data Source=$Workbook$;Location=Date;Extended Properties=&quot;&quot;" command="SELECT * FROM [Date]"/>
  </connection>
  <connection id="2" xr16:uid="{6EEC8820-2AC1-44D8-908C-5614A3DF3B1D}" keepAlive="1" name="Query - Procurement Data" description="Connection to the 'Procurement Data' query in the workbook." type="5" refreshedVersion="8" background="1" saveData="1">
    <dbPr connection="Provider=Microsoft.Mashup.OleDb.1;Data Source=$Workbook$;Location=&quot;Procurement Data&quot;;Extended Properties=&quot;&quot;" command="SELECT * FROM [Procurement Data]"/>
  </connection>
  <connection id="3" xr16:uid="{ED2D78DF-7158-439C-AB38-2D388A8E385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1902CE1A-DD91-40DD-A97F-8107C767D252}" name="WorksheetConnection_medical procurement dataset(cleaned).xlsx!Date" type="102" refreshedVersion="8" minRefreshableVersion="5">
    <extLst>
      <ext xmlns:x15="http://schemas.microsoft.com/office/spreadsheetml/2010/11/main" uri="{DE250136-89BD-433C-8126-D09CA5730AF9}">
        <x15:connection id="Date">
          <x15:rangePr sourceName="_xlcn.WorksheetConnection_medicalprocurementdatasetcleaned.xlsxDate1"/>
        </x15:connection>
      </ext>
    </extLst>
  </connection>
  <connection id="5" xr16:uid="{13E98D88-C8AA-438D-BCDD-55B3C0EE55C9}" name="WorksheetConnection_medical procurement dataset(cleaned).xlsx!Procurement_Data" type="102" refreshedVersion="8" minRefreshableVersion="5">
    <extLst>
      <ext xmlns:x15="http://schemas.microsoft.com/office/spreadsheetml/2010/11/main" uri="{DE250136-89BD-433C-8126-D09CA5730AF9}">
        <x15:connection id="Procurement_Data">
          <x15:rangePr sourceName="_xlcn.WorksheetConnection_medicalprocurementdatasetcleaned.xlsxProcurement_Data1"/>
        </x15:connection>
      </ext>
    </extLst>
  </connection>
</connections>
</file>

<file path=xl/sharedStrings.xml><?xml version="1.0" encoding="utf-8"?>
<sst xmlns="http://schemas.openxmlformats.org/spreadsheetml/2006/main" count="2026" uniqueCount="326">
  <si>
    <t xml:space="preserve"> Serial No </t>
  </si>
  <si>
    <t xml:space="preserve"> Hospital        </t>
  </si>
  <si>
    <t xml:space="preserve"> State   </t>
  </si>
  <si>
    <t xml:space="preserve"> Department     </t>
  </si>
  <si>
    <t xml:space="preserve"> Equipment     </t>
  </si>
  <si>
    <t xml:space="preserve"> Quantity </t>
  </si>
  <si>
    <t xml:space="preserve"> Unit Price (USD) </t>
  </si>
  <si>
    <t xml:space="preserve"> Supplier       </t>
  </si>
  <si>
    <t xml:space="preserve"> Supplier Country </t>
  </si>
  <si>
    <t xml:space="preserve"> Date Ordered </t>
  </si>
  <si>
    <t xml:space="preserve"> Date Delivered </t>
  </si>
  <si>
    <t xml:space="preserve"> Maintenance Cost (USD/year) </t>
  </si>
  <si>
    <t xml:space="preserve"> Installation Cost (USD) </t>
  </si>
  <si>
    <t xml:space="preserve"> Equipment Condition </t>
  </si>
  <si>
    <t>Lagos General</t>
  </si>
  <si>
    <t>Lagos</t>
  </si>
  <si>
    <t>Cardiology</t>
  </si>
  <si>
    <t>ECG Machine</t>
  </si>
  <si>
    <t>MedTech Inc.</t>
  </si>
  <si>
    <t>USA</t>
  </si>
  <si>
    <t>New</t>
  </si>
  <si>
    <t>Abuja Hospital</t>
  </si>
  <si>
    <t>Abuja</t>
  </si>
  <si>
    <t>Radiology</t>
  </si>
  <si>
    <t>MRI Machine</t>
  </si>
  <si>
    <t>Imagix</t>
  </si>
  <si>
    <t>UK</t>
  </si>
  <si>
    <t>Kano Medical</t>
  </si>
  <si>
    <t>Kano</t>
  </si>
  <si>
    <t>Surgery</t>
  </si>
  <si>
    <t>Surgical Tools</t>
  </si>
  <si>
    <t>SurgiSupplies</t>
  </si>
  <si>
    <t>UAE</t>
  </si>
  <si>
    <t>Used - Good</t>
  </si>
  <si>
    <t>Port Harcourt</t>
  </si>
  <si>
    <t>Rivers</t>
  </si>
  <si>
    <t>Pediatrics</t>
  </si>
  <si>
    <t>Ventilator</t>
  </si>
  <si>
    <t>RespCare</t>
  </si>
  <si>
    <t>China</t>
  </si>
  <si>
    <t>Refurbished</t>
  </si>
  <si>
    <t>Ibadan Clinic</t>
  </si>
  <si>
    <t>Oyo</t>
  </si>
  <si>
    <t>Obstetrics</t>
  </si>
  <si>
    <t>Ultrasound</t>
  </si>
  <si>
    <t>Sonoscan</t>
  </si>
  <si>
    <t>Japan</t>
  </si>
  <si>
    <t>Kaduna Clinic</t>
  </si>
  <si>
    <t>Kaduna</t>
  </si>
  <si>
    <t>Oncology</t>
  </si>
  <si>
    <t>Radiation Machine</t>
  </si>
  <si>
    <t>RadSource</t>
  </si>
  <si>
    <t>Germany</t>
  </si>
  <si>
    <t>Enugu General</t>
  </si>
  <si>
    <t>Enugu</t>
  </si>
  <si>
    <t>Neurology</t>
  </si>
  <si>
    <t>EEG Machine</t>
  </si>
  <si>
    <t>NeuroTech</t>
  </si>
  <si>
    <t>Spain</t>
  </si>
  <si>
    <t>Benin City Hosp</t>
  </si>
  <si>
    <t>Edo</t>
  </si>
  <si>
    <t>Orthopedics</t>
  </si>
  <si>
    <t>X-ray Machine</t>
  </si>
  <si>
    <t>MedImaging</t>
  </si>
  <si>
    <t>France</t>
  </si>
  <si>
    <t>Owerri Medical</t>
  </si>
  <si>
    <t>Imo</t>
  </si>
  <si>
    <t>Urology</t>
  </si>
  <si>
    <t>Lithotripter</t>
  </si>
  <si>
    <t>UltraMed</t>
  </si>
  <si>
    <t>India</t>
  </si>
  <si>
    <t>Jos Teaching</t>
  </si>
  <si>
    <t>Plateau</t>
  </si>
  <si>
    <t>Hematology</t>
  </si>
  <si>
    <t>Hematology Analyzer</t>
  </si>
  <si>
    <t>HemoTech</t>
  </si>
  <si>
    <t>Warri General</t>
  </si>
  <si>
    <t>Delta</t>
  </si>
  <si>
    <t>Emergency Care</t>
  </si>
  <si>
    <t>Defibrillator</t>
  </si>
  <si>
    <t>LifeSaver</t>
  </si>
  <si>
    <t>Calabar Medical</t>
  </si>
  <si>
    <t>Cross River</t>
  </si>
  <si>
    <t>Gynecology</t>
  </si>
  <si>
    <t>Colposcope</t>
  </si>
  <si>
    <t>GynoTech</t>
  </si>
  <si>
    <t>Mexico</t>
  </si>
  <si>
    <t>Sokoto Teaching</t>
  </si>
  <si>
    <t>Sokoto</t>
  </si>
  <si>
    <t>Nephrology</t>
  </si>
  <si>
    <t>Dialysis Machine</t>
  </si>
  <si>
    <t>NephroCare</t>
  </si>
  <si>
    <t>Saudi Arabia</t>
  </si>
  <si>
    <t>Uyo Specialist</t>
  </si>
  <si>
    <t>Akwa Ibom</t>
  </si>
  <si>
    <t>Ophthalmology</t>
  </si>
  <si>
    <t>Fundus Camera</t>
  </si>
  <si>
    <t>EyeTech</t>
  </si>
  <si>
    <t>Taiwan</t>
  </si>
  <si>
    <t>Abeokuta General</t>
  </si>
  <si>
    <t>Ogun</t>
  </si>
  <si>
    <t>Dermatology</t>
  </si>
  <si>
    <t>Laser Machine</t>
  </si>
  <si>
    <t>DermiCare</t>
  </si>
  <si>
    <t>Egypt</t>
  </si>
  <si>
    <t>Osogbo Regional</t>
  </si>
  <si>
    <t>Osun</t>
  </si>
  <si>
    <t>Psychiatry</t>
  </si>
  <si>
    <t>Yola Medical</t>
  </si>
  <si>
    <t>Adamawa</t>
  </si>
  <si>
    <t>Gastroenterology</t>
  </si>
  <si>
    <t>Endoscopy Machine</t>
  </si>
  <si>
    <t>GastroTech</t>
  </si>
  <si>
    <t>Maiduguri General</t>
  </si>
  <si>
    <t>Borno</t>
  </si>
  <si>
    <t>Chemotherapy Pump</t>
  </si>
  <si>
    <t>OncoCare</t>
  </si>
  <si>
    <t>Makurdi Hospital</t>
  </si>
  <si>
    <t>Benue</t>
  </si>
  <si>
    <t>ENT</t>
  </si>
  <si>
    <t>Audiometer</t>
  </si>
  <si>
    <t>HearTech</t>
  </si>
  <si>
    <t>Lokoja Medical</t>
  </si>
  <si>
    <t>Kogi</t>
  </si>
  <si>
    <t>Pulmonology</t>
  </si>
  <si>
    <t>Spirometer</t>
  </si>
  <si>
    <t>PulmoTech</t>
  </si>
  <si>
    <t>Ile-Ife General</t>
  </si>
  <si>
    <t>Rheumatology</t>
  </si>
  <si>
    <t>Ado-Ekiti Medical</t>
  </si>
  <si>
    <t>Ekiti</t>
  </si>
  <si>
    <t>Holter Monitor</t>
  </si>
  <si>
    <t>CardioCare</t>
  </si>
  <si>
    <t>Used - Fair</t>
  </si>
  <si>
    <t>Awka General</t>
  </si>
  <si>
    <t>Anambra</t>
  </si>
  <si>
    <t>Coagulation Analyzer</t>
  </si>
  <si>
    <t>Epe Medical</t>
  </si>
  <si>
    <t>Infant Incubator</t>
  </si>
  <si>
    <t>NeoCare</t>
  </si>
  <si>
    <t>Australia</t>
  </si>
  <si>
    <t>Ikeja General</t>
  </si>
  <si>
    <t>Bone Densitometer</t>
  </si>
  <si>
    <t>OrthoTech</t>
  </si>
  <si>
    <t>Ife Central</t>
  </si>
  <si>
    <t>Surgical Microscope</t>
  </si>
  <si>
    <t>SurgiEquip</t>
  </si>
  <si>
    <t>Umuahia Medical</t>
  </si>
  <si>
    <t>Abia</t>
  </si>
  <si>
    <t>CT Scanner</t>
  </si>
  <si>
    <t>RadiantTech</t>
  </si>
  <si>
    <t>Gombe Specialist</t>
  </si>
  <si>
    <t>Gombe</t>
  </si>
  <si>
    <t>Neurosurgery</t>
  </si>
  <si>
    <t>C-Arm Machine</t>
  </si>
  <si>
    <t>NeuroSurg</t>
  </si>
  <si>
    <t>Damaturu Hospital</t>
  </si>
  <si>
    <t>Yobe</t>
  </si>
  <si>
    <t>Fetal Monitor</t>
  </si>
  <si>
    <t>Bauchi General</t>
  </si>
  <si>
    <t>Bauchi</t>
  </si>
  <si>
    <t>Ijebu-Ode General</t>
  </si>
  <si>
    <t>Cryotherapy Machine</t>
  </si>
  <si>
    <t>DermaTech</t>
  </si>
  <si>
    <t>South Korea</t>
  </si>
  <si>
    <t>Okene Medical</t>
  </si>
  <si>
    <t>Oxygen Concentrator</t>
  </si>
  <si>
    <t>RespTech</t>
  </si>
  <si>
    <t>Abakaliki Hospital</t>
  </si>
  <si>
    <t>Ebonyi</t>
  </si>
  <si>
    <t>Cystoscope</t>
  </si>
  <si>
    <t>UroMed</t>
  </si>
  <si>
    <t>Sapele General</t>
  </si>
  <si>
    <t>Hysteroscope</t>
  </si>
  <si>
    <t>Iseyin Medical</t>
  </si>
  <si>
    <t>Hemoglobin Analyzer</t>
  </si>
  <si>
    <t>Otukpo Hospital</t>
  </si>
  <si>
    <t>Rhinolaryngoscope</t>
  </si>
  <si>
    <t>ENT Solutions</t>
  </si>
  <si>
    <t>Ogaminana General</t>
  </si>
  <si>
    <t>EMG Machine</t>
  </si>
  <si>
    <t>Ode-Ekiti Medical</t>
  </si>
  <si>
    <t>Stress Test System</t>
  </si>
  <si>
    <t>Egbe Specialist</t>
  </si>
  <si>
    <t>Linear Accelerator</t>
  </si>
  <si>
    <t>OncoTech</t>
  </si>
  <si>
    <t>Ifo Medical</t>
  </si>
  <si>
    <t>Phototherapy Unit</t>
  </si>
  <si>
    <t>Idanre General</t>
  </si>
  <si>
    <t>Ondo</t>
  </si>
  <si>
    <t>Traction Table</t>
  </si>
  <si>
    <t>Ikom Medical</t>
  </si>
  <si>
    <t>Electrosurgical Unit</t>
  </si>
  <si>
    <t>Ijero-Ekiti Hosp</t>
  </si>
  <si>
    <t>Mammography Machine</t>
  </si>
  <si>
    <t>MammoTech</t>
  </si>
  <si>
    <t>Ikirun General</t>
  </si>
  <si>
    <t>Psychiatric Bed</t>
  </si>
  <si>
    <t>PsychiCare</t>
  </si>
  <si>
    <t>Ilorin Central</t>
  </si>
  <si>
    <t>Kwara</t>
  </si>
  <si>
    <t>Colonoscope</t>
  </si>
  <si>
    <t>Ikare Specialist</t>
  </si>
  <si>
    <t>Blood Analyzer</t>
  </si>
  <si>
    <t>Ilaro Medical</t>
  </si>
  <si>
    <t>Otoscope</t>
  </si>
  <si>
    <t>Iragbiji Hospital</t>
  </si>
  <si>
    <t>Neuroendoscope</t>
  </si>
  <si>
    <t>Ijebu-Igbo General</t>
  </si>
  <si>
    <t>Echocardiogram</t>
  </si>
  <si>
    <t>CardioTech</t>
  </si>
  <si>
    <t>Ilobu Medical</t>
  </si>
  <si>
    <t>CPAP Machine</t>
  </si>
  <si>
    <t>Anesthesia Machine</t>
  </si>
  <si>
    <t>AnesthTech</t>
  </si>
  <si>
    <t>Lithotripsy Machine</t>
  </si>
  <si>
    <t>Operating Table</t>
  </si>
  <si>
    <t>Endoscope</t>
  </si>
  <si>
    <t>Psychiatric Ward</t>
  </si>
  <si>
    <t>Gastroscope</t>
  </si>
  <si>
    <t>Ipoti General</t>
  </si>
  <si>
    <t>Blood Bank Refrigerator</t>
  </si>
  <si>
    <t>BioTech</t>
  </si>
  <si>
    <t>Cautery Machine</t>
  </si>
  <si>
    <t>Surgical Lights</t>
  </si>
  <si>
    <t>TCD Machine</t>
  </si>
  <si>
    <t>Microscope</t>
  </si>
  <si>
    <t>Sterilization Equipment</t>
  </si>
  <si>
    <t>SteriTech</t>
  </si>
  <si>
    <t>Infant Warmers</t>
  </si>
  <si>
    <t>Cast Cutter</t>
  </si>
  <si>
    <t>Ikot-Ekpene Hosp</t>
  </si>
  <si>
    <t>Surgical Suction Machine</t>
  </si>
  <si>
    <t>Abuja Central Hospital</t>
  </si>
  <si>
    <t>Enugu State Hospital</t>
  </si>
  <si>
    <t>Owerri General Hospital</t>
  </si>
  <si>
    <t>Ultrasound Machine</t>
  </si>
  <si>
    <t>Kaduna National Hospital</t>
  </si>
  <si>
    <t>Ibadan Teaching Hospital</t>
  </si>
  <si>
    <t>Lokoja General Hospital</t>
  </si>
  <si>
    <t>Abeokuta Specialist Hosp</t>
  </si>
  <si>
    <t>Ilorin University Hospital</t>
  </si>
  <si>
    <t>C-arm Fluoroscopy</t>
  </si>
  <si>
    <t>FluoroTech</t>
  </si>
  <si>
    <t>Minna Federal Medical Center</t>
  </si>
  <si>
    <t>Niger</t>
  </si>
  <si>
    <t>Oshogbo General Hospital</t>
  </si>
  <si>
    <t>Yenagoa Medical Center</t>
  </si>
  <si>
    <t>Bayelsa</t>
  </si>
  <si>
    <t>Sokoto General Hospital</t>
  </si>
  <si>
    <t>Port Harcourt General</t>
  </si>
  <si>
    <t>Uyo General Hospital</t>
  </si>
  <si>
    <t>ScanTech</t>
  </si>
  <si>
    <t>CardiaTech</t>
  </si>
  <si>
    <t>MRI Solutions</t>
  </si>
  <si>
    <t>Warri General Hospital</t>
  </si>
  <si>
    <t>Aba Medical Center</t>
  </si>
  <si>
    <t>Calabar General Hospital</t>
  </si>
  <si>
    <t>Lokoja Medical Center</t>
  </si>
  <si>
    <t>Gombe General Hospital</t>
  </si>
  <si>
    <t>Jalingo Federal Medical Center</t>
  </si>
  <si>
    <t>Taraba</t>
  </si>
  <si>
    <t>Bauchi National Hospital</t>
  </si>
  <si>
    <t>Umuahia General Hospital</t>
  </si>
  <si>
    <t>Akure Medical Center</t>
  </si>
  <si>
    <t>Ibadan National Hospital</t>
  </si>
  <si>
    <t>Incubator</t>
  </si>
  <si>
    <t>Maiduguri General Hospital</t>
  </si>
  <si>
    <t>Kano National Hospital</t>
  </si>
  <si>
    <t>Makurdi General Hospital</t>
  </si>
  <si>
    <t>Asaba Medical Center</t>
  </si>
  <si>
    <t>Gusau General Hospital</t>
  </si>
  <si>
    <t>Zamfara</t>
  </si>
  <si>
    <t>Yola Federal Medical Center</t>
  </si>
  <si>
    <t>Jos University Teaching Hospital</t>
  </si>
  <si>
    <t>Ogbomoso General Hospital</t>
  </si>
  <si>
    <t>Ado-Ekiti Medical Center</t>
  </si>
  <si>
    <t>Abakaliki General Hospital</t>
  </si>
  <si>
    <t>Benin City General Hospital</t>
  </si>
  <si>
    <t>Lafia Federal Medical Center</t>
  </si>
  <si>
    <t>Nasarawa</t>
  </si>
  <si>
    <t>Abeokuta General Hospital</t>
  </si>
  <si>
    <t>Awka Medical Center</t>
  </si>
  <si>
    <t>Dutse General Hospital</t>
  </si>
  <si>
    <t>Jigawa</t>
  </si>
  <si>
    <t>Keffi Federal Medical Center</t>
  </si>
  <si>
    <t>Date Delivered</t>
  </si>
  <si>
    <t>Day name</t>
  </si>
  <si>
    <t>Day num</t>
  </si>
  <si>
    <t>Month Name</t>
  </si>
  <si>
    <t>Month Num</t>
  </si>
  <si>
    <t>Wednesday</t>
  </si>
  <si>
    <t>April</t>
  </si>
  <si>
    <t>Monday</t>
  </si>
  <si>
    <t>March</t>
  </si>
  <si>
    <t>February</t>
  </si>
  <si>
    <t>Thursday</t>
  </si>
  <si>
    <t>Sunday</t>
  </si>
  <si>
    <t>May</t>
  </si>
  <si>
    <t>Tuesday</t>
  </si>
  <si>
    <t>Friday</t>
  </si>
  <si>
    <t>Saturday</t>
  </si>
  <si>
    <t>Total Procurement Cost</t>
  </si>
  <si>
    <t>Average Unit Price</t>
  </si>
  <si>
    <t>Average Delivery Time</t>
  </si>
  <si>
    <t>Total maintence cost per year</t>
  </si>
  <si>
    <t>Total Installation Cost</t>
  </si>
  <si>
    <t>Total Equipment Procured</t>
  </si>
  <si>
    <t>Row Labels</t>
  </si>
  <si>
    <t>Grand Total</t>
  </si>
  <si>
    <t>Column Labels</t>
  </si>
  <si>
    <t>Sum of Quantity</t>
  </si>
  <si>
    <t>Top 5 Hospital by procurement cost</t>
  </si>
  <si>
    <t>Top 5 department by conditon of equipment</t>
  </si>
  <si>
    <t>top 5 equipment with high maintenece cost</t>
  </si>
  <si>
    <t>Top 5 suppliers by average delivery day</t>
  </si>
  <si>
    <t xml:space="preserve">bottom 5 equpiment with the least maintenece cost </t>
  </si>
  <si>
    <t>Count of Supplier</t>
  </si>
  <si>
    <t>equipment supplier by country</t>
  </si>
  <si>
    <t>quantity of equipment supplied by different countries</t>
  </si>
  <si>
    <t>equipment condition by installation cost</t>
  </si>
  <si>
    <t xml:space="preserve">top 5 equipment with </t>
  </si>
  <si>
    <t>high procurement cost</t>
  </si>
  <si>
    <t xml:space="preserve">top 5 equipment with total Quantity </t>
  </si>
  <si>
    <t>demanded</t>
  </si>
  <si>
    <t>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</si>
</sst>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quot;$&quot;* #,##0.00_-;_-&quot;$&quot;* &quot;-&quot;??_-;_-@_-"/>
    <numFmt numFmtId="164" formatCode="_-[$₦-466]\ * #,##0.00_-;\-[$₦-466]\ * #,##0.00_-;_-[$₦-466]\ * &quot;-&quot;??_-;_-@_-"/>
    <numFmt numFmtId="165" formatCode="_-[$₦-466]\ * #,##0_-;\-[$₦-466]\ * #,##0_-;_-[$₦-466]\ * &quot;-&quot;??_-;_-@_-"/>
  </numFmts>
  <fonts count="5" x14ac:knownFonts="1">
    <font>
      <sz val="11"/>
      <color theme="1"/>
      <name val="Aptos Narrow"/>
      <family val="2"/>
      <scheme val="minor"/>
    </font>
    <font>
      <sz val="11"/>
      <color rgb="FFFAFAFA"/>
      <name val="Aptos Narrow"/>
      <family val="2"/>
      <scheme val="minor"/>
    </font>
    <font>
      <sz val="11"/>
      <name val="Aptos Narrow"/>
      <family val="2"/>
      <scheme val="minor"/>
    </font>
    <font>
      <sz val="11"/>
      <color theme="1"/>
      <name val="Aptos Narrow"/>
      <family val="2"/>
      <scheme val="minor"/>
    </font>
    <font>
      <b/>
      <sz val="14"/>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0" fillId="0" borderId="0" xfId="0" applyNumberFormat="1"/>
    <xf numFmtId="14" fontId="0" fillId="0" borderId="0" xfId="0" applyNumberFormat="1"/>
    <xf numFmtId="3"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2" fillId="0" borderId="0" xfId="0" applyFont="1"/>
    <xf numFmtId="165" fontId="0" fillId="0" borderId="0" xfId="0" applyNumberFormat="1"/>
    <xf numFmtId="0" fontId="4" fillId="0" borderId="0" xfId="0" applyFont="1" applyAlignment="1">
      <alignment horizontal="center"/>
    </xf>
    <xf numFmtId="1" fontId="4" fillId="0" borderId="0" xfId="0" applyNumberFormat="1" applyFont="1" applyAlignme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4" fillId="0" borderId="0" xfId="1" applyNumberFormat="1" applyFont="1" applyAlignment="1">
      <alignment horizontal="center"/>
    </xf>
    <xf numFmtId="164" fontId="0" fillId="0" borderId="0" xfId="1" applyNumberFormat="1" applyFont="1"/>
  </cellXfs>
  <cellStyles count="2">
    <cellStyle name="Currency" xfId="1" builtinId="4"/>
    <cellStyle name="Normal" xfId="0" builtinId="0"/>
  </cellStyles>
  <dxfs count="27">
    <dxf>
      <numFmt numFmtId="164" formatCode="_-[$₦-466]\ * #,##0.00_-;\-[$₦-466]\ * #,##0.00_-;_-[$₦-466]\ * &quot;-&quot;??_-;_-@_-"/>
    </dxf>
    <dxf>
      <numFmt numFmtId="164" formatCode="_-[$₦-466]\ * #,##0.00_-;\-[$₦-466]\ * #,##0.00_-;_-[$₦-466]\ * &quot;-&quot;??_-;_-@_-"/>
    </dxf>
    <dxf>
      <numFmt numFmtId="164" formatCode="_-[$₦-466]\ * #,##0.00_-;\-[$₦-466]\ * #,##0.00_-;_-[$₦-466]\ * &quot;-&quot;??_-;_-@_-"/>
    </dxf>
    <dxf>
      <numFmt numFmtId="164" formatCode="_-[$₦-466]\ * #,##0.00_-;\-[$₦-466]\ * #,##0.00_-;_-[$₦-466]\ * &quot;-&quot;??_-;_-@_-"/>
    </dxf>
    <dxf>
      <numFmt numFmtId="164" formatCode="_-[$₦-466]\ * #,##0.00_-;\-[$₦-466]\ * #,##0.00_-;_-[$₦-466]\ * &quot;-&quot;??_-;_-@_-"/>
    </dxf>
    <dxf>
      <numFmt numFmtId="164" formatCode="_-[$₦-466]\ * #,##0.00_-;\-[$₦-466]\ * #,##0.00_-;_-[$₦-466]\ * &quot;-&quot;??_-;_-@_-"/>
    </dxf>
    <dxf>
      <numFmt numFmtId="164" formatCode="_-[$₦-466]\ * #,##0.00_-;\-[$₦-466]\ * #,##0.00_-;_-[$₦-466]\ * &quot;-&quot;??_-;_-@_-"/>
    </dxf>
    <dxf>
      <numFmt numFmtId="164" formatCode="_-[$₦-466]\ * #,##0.00_-;\-[$₦-466]\ * #,##0.00_-;_-[$₦-466]\ * &quot;-&quot;??_-;_-@_-"/>
    </dxf>
    <dxf>
      <numFmt numFmtId="1" formatCode="0"/>
    </dxf>
    <dxf>
      <numFmt numFmtId="1" formatCode="0"/>
    </dxf>
    <dxf>
      <numFmt numFmtId="164" formatCode="_-[$₦-466]\ * #,##0.00_-;\-[$₦-466]\ * #,##0.00_-;_-[$₦-466]\ * &quot;-&quot;??_-;_-@_-"/>
    </dxf>
    <dxf>
      <numFmt numFmtId="164" formatCode="_-[$₦-466]\ * #,##0.00_-;\-[$₦-466]\ * #,##0.00_-;_-[$₦-466]\ * &quot;-&quot;??_-;_-@_-"/>
    </dxf>
    <dxf>
      <numFmt numFmtId="1" formatCode="0"/>
    </dxf>
    <dxf>
      <numFmt numFmtId="164" formatCode="_-[$₦-466]\ * #,##0.00_-;\-[$₦-466]\ * #,##0.00_-;_-[$₦-466]\ * &quot;-&quot;??_-;_-@_-"/>
    </dxf>
    <dxf>
      <numFmt numFmtId="164" formatCode="_-[$₦-466]\ * #,##0.00_-;\-[$₦-466]\ * #,##0.00_-;_-[$₦-466]\ * &quot;-&quot;??_-;_-@_-"/>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s>
  <tableStyles count="1" defaultTableStyle="TableStyleMedium2" defaultPivotStyle="PivotStyleLight16">
    <tableStyle name="Slicer Style 1" pivot="0" table="0" count="2" xr9:uid="{E791F52C-CBF3-4C8A-BD18-DCEA329B6B5D}"/>
  </tableStyles>
  <colors>
    <mruColors>
      <color rgb="FF333333"/>
      <color rgb="FFFFC928"/>
      <color rgb="FF1C2C5B"/>
      <color rgb="FFD7D7D7"/>
      <color rgb="FFF2F2F2"/>
      <color rgb="FFF3F3F3"/>
      <color rgb="FFC2C2C2"/>
      <color rgb="FFAEAEAE"/>
      <color rgb="FF000000"/>
      <color rgb="FFFAFAFA"/>
    </mruColors>
  </colors>
  <extLst>
    <ext xmlns:x14="http://schemas.microsoft.com/office/spreadsheetml/2009/9/main" uri="{46F421CA-312F-682f-3DD2-61675219B42D}">
      <x14:dxfs count="2">
        <dxf>
          <font>
            <color rgb="FFFFC928"/>
          </font>
        </dxf>
        <dxf>
          <font>
            <color rgb="FF333333"/>
            <name val="Calibri"/>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2.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4.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pivotCacheDefinition" Target="pivotCache/pivotCacheDefinition1.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1C2C5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3F3F3"/>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analyser'!$A$73:$A$77</c:f>
              <c:strCache>
                <c:ptCount val="5"/>
                <c:pt idx="0">
                  <c:v>Australia</c:v>
                </c:pt>
                <c:pt idx="1">
                  <c:v>USA</c:v>
                </c:pt>
                <c:pt idx="2">
                  <c:v>UAE</c:v>
                </c:pt>
                <c:pt idx="3">
                  <c:v>France</c:v>
                </c:pt>
                <c:pt idx="4">
                  <c:v>China</c:v>
                </c:pt>
              </c:strCache>
            </c:strRef>
          </c:cat>
          <c:val>
            <c:numRef>
              <c:f>'pivot analyser'!$B$73:$B$77</c:f>
              <c:numCache>
                <c:formatCode>General</c:formatCode>
                <c:ptCount val="5"/>
                <c:pt idx="0">
                  <c:v>62</c:v>
                </c:pt>
                <c:pt idx="1">
                  <c:v>44</c:v>
                </c:pt>
                <c:pt idx="2">
                  <c:v>42</c:v>
                </c:pt>
                <c:pt idx="3">
                  <c:v>27</c:v>
                </c:pt>
                <c:pt idx="4">
                  <c:v>24</c:v>
                </c:pt>
              </c:numCache>
            </c:numRef>
          </c:val>
          <c:extLst>
            <c:ext xmlns:c16="http://schemas.microsoft.com/office/drawing/2014/chart" uri="{C3380CC4-5D6E-409C-BE32-E72D297353CC}">
              <c16:uniqueId val="{00000000-7241-4492-9B93-E1CFA39E8785}"/>
            </c:ext>
          </c:extLst>
        </c:ser>
        <c:dLbls>
          <c:dLblPos val="outEnd"/>
          <c:showLegendKey val="0"/>
          <c:showVal val="1"/>
          <c:showCatName val="0"/>
          <c:showSerName val="0"/>
          <c:showPercent val="0"/>
          <c:showBubbleSize val="0"/>
        </c:dLbls>
        <c:gapWidth val="119"/>
        <c:overlap val="33"/>
        <c:axId val="486428847"/>
        <c:axId val="486421167"/>
      </c:barChart>
      <c:catAx>
        <c:axId val="48642884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486421167"/>
        <c:crosses val="autoZero"/>
        <c:auto val="1"/>
        <c:lblAlgn val="ctr"/>
        <c:lblOffset val="100"/>
        <c:noMultiLvlLbl val="0"/>
      </c:catAx>
      <c:valAx>
        <c:axId val="486421167"/>
        <c:scaling>
          <c:orientation val="minMax"/>
        </c:scaling>
        <c:delete val="1"/>
        <c:axPos val="l"/>
        <c:numFmt formatCode="General" sourceLinked="1"/>
        <c:majorTickMark val="none"/>
        <c:minorTickMark val="none"/>
        <c:tickLblPos val="nextTo"/>
        <c:crossAx val="486428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FFC9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libri" panose="020F0502020204030204" pitchFamily="34" charset="0"/>
                    <a:ea typeface="+mn-ea"/>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analyser'!$F$59:$F$68</c:f>
              <c:strCache>
                <c:ptCount val="10"/>
                <c:pt idx="0">
                  <c:v>Osun</c:v>
                </c:pt>
                <c:pt idx="1">
                  <c:v>Ogun</c:v>
                </c:pt>
                <c:pt idx="2">
                  <c:v>Kaduna</c:v>
                </c:pt>
                <c:pt idx="3">
                  <c:v>Kogi</c:v>
                </c:pt>
                <c:pt idx="4">
                  <c:v>Bayelsa</c:v>
                </c:pt>
                <c:pt idx="5">
                  <c:v>Nasarawa</c:v>
                </c:pt>
                <c:pt idx="6">
                  <c:v>Imo</c:v>
                </c:pt>
                <c:pt idx="7">
                  <c:v>Edo</c:v>
                </c:pt>
                <c:pt idx="8">
                  <c:v>Niger</c:v>
                </c:pt>
                <c:pt idx="9">
                  <c:v>Abuja</c:v>
                </c:pt>
              </c:strCache>
            </c:strRef>
          </c:cat>
          <c:val>
            <c:numRef>
              <c:f>'pivot analyser'!$G$59:$G$68</c:f>
              <c:numCache>
                <c:formatCode>_-[$₦-466]\ * #,##0.00_-;\-[$₦-466]\ * #,##0.00_-;_-[$₦-466]\ * "-"??_-;_-@_-</c:formatCode>
                <c:ptCount val="10"/>
                <c:pt idx="0">
                  <c:v>26400</c:v>
                </c:pt>
                <c:pt idx="1">
                  <c:v>22800</c:v>
                </c:pt>
                <c:pt idx="2">
                  <c:v>16000</c:v>
                </c:pt>
                <c:pt idx="3">
                  <c:v>12800</c:v>
                </c:pt>
                <c:pt idx="4">
                  <c:v>12700</c:v>
                </c:pt>
                <c:pt idx="5">
                  <c:v>11800</c:v>
                </c:pt>
                <c:pt idx="6">
                  <c:v>11700</c:v>
                </c:pt>
                <c:pt idx="7">
                  <c:v>10500</c:v>
                </c:pt>
                <c:pt idx="8">
                  <c:v>9700</c:v>
                </c:pt>
                <c:pt idx="9">
                  <c:v>9400</c:v>
                </c:pt>
              </c:numCache>
            </c:numRef>
          </c:val>
          <c:extLst>
            <c:ext xmlns:c16="http://schemas.microsoft.com/office/drawing/2014/chart" uri="{C3380CC4-5D6E-409C-BE32-E72D297353CC}">
              <c16:uniqueId val="{00000000-1F24-4D12-9632-F44B34818D7E}"/>
            </c:ext>
          </c:extLst>
        </c:ser>
        <c:dLbls>
          <c:dLblPos val="inEnd"/>
          <c:showLegendKey val="0"/>
          <c:showVal val="1"/>
          <c:showCatName val="0"/>
          <c:showSerName val="0"/>
          <c:showPercent val="0"/>
          <c:showBubbleSize val="0"/>
        </c:dLbls>
        <c:gapWidth val="62"/>
        <c:overlap val="-40"/>
        <c:axId val="610777695"/>
        <c:axId val="610764255"/>
      </c:barChart>
      <c:catAx>
        <c:axId val="61077769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10764255"/>
        <c:crosses val="autoZero"/>
        <c:auto val="1"/>
        <c:lblAlgn val="ctr"/>
        <c:lblOffset val="100"/>
        <c:noMultiLvlLbl val="0"/>
      </c:catAx>
      <c:valAx>
        <c:axId val="610764255"/>
        <c:scaling>
          <c:orientation val="minMax"/>
        </c:scaling>
        <c:delete val="1"/>
        <c:axPos val="b"/>
        <c:numFmt formatCode="_-[$₦-466]\ * #,##0.00_-;\-[$₦-466]\ * #,##0.00_-;_-[$₦-466]\ * &quot;-&quot;??_-;_-@_-" sourceLinked="1"/>
        <c:majorTickMark val="out"/>
        <c:minorTickMark val="none"/>
        <c:tickLblPos val="nextTo"/>
        <c:crossAx val="6107776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1C2C5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7D7D7"/>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analyser'!$C$20:$C$24</c:f>
              <c:strCache>
                <c:ptCount val="5"/>
                <c:pt idx="0">
                  <c:v>MRI Machine</c:v>
                </c:pt>
                <c:pt idx="1">
                  <c:v>CT Scanner</c:v>
                </c:pt>
                <c:pt idx="2">
                  <c:v>Anesthesia Machine</c:v>
                </c:pt>
                <c:pt idx="3">
                  <c:v>Ventilator</c:v>
                </c:pt>
                <c:pt idx="4">
                  <c:v>Operating Table</c:v>
                </c:pt>
              </c:strCache>
            </c:strRef>
          </c:cat>
          <c:val>
            <c:numRef>
              <c:f>'pivot analyser'!$D$20:$D$24</c:f>
              <c:numCache>
                <c:formatCode>_-[$₦-466]\ * #,##0.00_-;\-[$₦-466]\ * #,##0.00_-;_-[$₦-466]\ * "-"??_-;_-@_-</c:formatCode>
                <c:ptCount val="5"/>
                <c:pt idx="0">
                  <c:v>57000</c:v>
                </c:pt>
                <c:pt idx="1">
                  <c:v>41000</c:v>
                </c:pt>
                <c:pt idx="2">
                  <c:v>40000</c:v>
                </c:pt>
                <c:pt idx="3">
                  <c:v>33000</c:v>
                </c:pt>
                <c:pt idx="4">
                  <c:v>32600</c:v>
                </c:pt>
              </c:numCache>
            </c:numRef>
          </c:val>
          <c:extLst>
            <c:ext xmlns:c16="http://schemas.microsoft.com/office/drawing/2014/chart" uri="{C3380CC4-5D6E-409C-BE32-E72D297353CC}">
              <c16:uniqueId val="{00000000-696C-4EC8-8D8E-2F000165325C}"/>
            </c:ext>
          </c:extLst>
        </c:ser>
        <c:dLbls>
          <c:dLblPos val="inEnd"/>
          <c:showLegendKey val="0"/>
          <c:showVal val="1"/>
          <c:showCatName val="0"/>
          <c:showSerName val="0"/>
          <c:showPercent val="0"/>
          <c:showBubbleSize val="0"/>
        </c:dLbls>
        <c:gapWidth val="92"/>
        <c:axId val="1457367215"/>
        <c:axId val="1457382575"/>
      </c:barChart>
      <c:catAx>
        <c:axId val="14573672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457382575"/>
        <c:crosses val="autoZero"/>
        <c:auto val="1"/>
        <c:lblAlgn val="ctr"/>
        <c:lblOffset val="100"/>
        <c:noMultiLvlLbl val="0"/>
      </c:catAx>
      <c:valAx>
        <c:axId val="1457382575"/>
        <c:scaling>
          <c:orientation val="minMax"/>
        </c:scaling>
        <c:delete val="1"/>
        <c:axPos val="b"/>
        <c:numFmt formatCode="_-[$₦-466]\ * #,##0.00_-;\-[$₦-466]\ * #,##0.00_-;_-[$₦-466]\ * &quot;-&quot;??_-;_-@_-" sourceLinked="1"/>
        <c:majorTickMark val="out"/>
        <c:minorTickMark val="none"/>
        <c:tickLblPos val="nextTo"/>
        <c:crossAx val="14573672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10104986876642"/>
          <c:y val="5.5555555555555552E-2"/>
          <c:w val="0.70534339457567807"/>
          <c:h val="0.89814814814814814"/>
        </c:manualLayout>
      </c:layout>
      <c:barChart>
        <c:barDir val="bar"/>
        <c:grouping val="clustered"/>
        <c:varyColors val="0"/>
        <c:ser>
          <c:idx val="0"/>
          <c:order val="0"/>
          <c:spPr>
            <a:solidFill>
              <a:srgbClr val="FFC9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analyser'!$L$47:$L$51</c:f>
              <c:strCache>
                <c:ptCount val="5"/>
                <c:pt idx="0">
                  <c:v>Rhinolaryngoscope</c:v>
                </c:pt>
                <c:pt idx="1">
                  <c:v>Fetal Monitor</c:v>
                </c:pt>
                <c:pt idx="2">
                  <c:v>Psychiatric Bed</c:v>
                </c:pt>
                <c:pt idx="3">
                  <c:v>Psychiatric Ward</c:v>
                </c:pt>
                <c:pt idx="4">
                  <c:v>Surgical Tools</c:v>
                </c:pt>
              </c:strCache>
            </c:strRef>
          </c:cat>
          <c:val>
            <c:numRef>
              <c:f>'pivot analyser'!$M$47:$M$51</c:f>
              <c:numCache>
                <c:formatCode>_-[$₦-466]\ * #,##0.00_-;\-[$₦-466]\ * #,##0.00_-;_-[$₦-466]\ * "-"??_-;_-@_-</c:formatCode>
                <c:ptCount val="5"/>
                <c:pt idx="0">
                  <c:v>800</c:v>
                </c:pt>
                <c:pt idx="1">
                  <c:v>800</c:v>
                </c:pt>
                <c:pt idx="2">
                  <c:v>800</c:v>
                </c:pt>
                <c:pt idx="3">
                  <c:v>800</c:v>
                </c:pt>
                <c:pt idx="4">
                  <c:v>500</c:v>
                </c:pt>
              </c:numCache>
            </c:numRef>
          </c:val>
          <c:extLst>
            <c:ext xmlns:c16="http://schemas.microsoft.com/office/drawing/2014/chart" uri="{C3380CC4-5D6E-409C-BE32-E72D297353CC}">
              <c16:uniqueId val="{00000000-266A-4F42-83F8-140FAFDFDD55}"/>
            </c:ext>
          </c:extLst>
        </c:ser>
        <c:dLbls>
          <c:dLblPos val="ctr"/>
          <c:showLegendKey val="0"/>
          <c:showVal val="1"/>
          <c:showCatName val="0"/>
          <c:showSerName val="0"/>
          <c:showPercent val="0"/>
          <c:showBubbleSize val="0"/>
        </c:dLbls>
        <c:gapWidth val="182"/>
        <c:axId val="703846991"/>
        <c:axId val="703847471"/>
      </c:barChart>
      <c:catAx>
        <c:axId val="7038469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03847471"/>
        <c:crosses val="autoZero"/>
        <c:auto val="1"/>
        <c:lblAlgn val="ctr"/>
        <c:lblOffset val="100"/>
        <c:noMultiLvlLbl val="0"/>
      </c:catAx>
      <c:valAx>
        <c:axId val="703847471"/>
        <c:scaling>
          <c:orientation val="minMax"/>
        </c:scaling>
        <c:delete val="1"/>
        <c:axPos val="b"/>
        <c:numFmt formatCode="_-[$₦-466]\ * #,##0.00_-;\-[$₦-466]\ * #,##0.00_-;_-[$₦-466]\ * &quot;-&quot;??_-;_-@_-" sourceLinked="1"/>
        <c:majorTickMark val="none"/>
        <c:minorTickMark val="none"/>
        <c:tickLblPos val="nextTo"/>
        <c:crossAx val="7038469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D7D7D7"/>
              </a:solidFill>
              <a:ln w="19050">
                <a:solidFill>
                  <a:schemeClr val="lt1"/>
                </a:solidFill>
              </a:ln>
              <a:effectLst/>
            </c:spPr>
            <c:extLst>
              <c:ext xmlns:c16="http://schemas.microsoft.com/office/drawing/2014/chart" uri="{C3380CC4-5D6E-409C-BE32-E72D297353CC}">
                <c16:uniqueId val="{00000001-1D3C-4E09-8F62-2B5FFBC4F6A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D3C-4E09-8F62-2B5FFBC4F6A9}"/>
              </c:ext>
            </c:extLst>
          </c:dPt>
          <c:dPt>
            <c:idx val="2"/>
            <c:bubble3D val="0"/>
            <c:spPr>
              <a:solidFill>
                <a:srgbClr val="FFC928"/>
              </a:solidFill>
              <a:ln w="19050">
                <a:solidFill>
                  <a:schemeClr val="lt1"/>
                </a:solidFill>
              </a:ln>
              <a:effectLst/>
            </c:spPr>
            <c:extLst>
              <c:ext xmlns:c16="http://schemas.microsoft.com/office/drawing/2014/chart" uri="{C3380CC4-5D6E-409C-BE32-E72D297353CC}">
                <c16:uniqueId val="{00000005-1D3C-4E09-8F62-2B5FFBC4F6A9}"/>
              </c:ext>
            </c:extLst>
          </c:dPt>
          <c:dPt>
            <c:idx val="3"/>
            <c:bubble3D val="0"/>
            <c:spPr>
              <a:solidFill>
                <a:srgbClr val="1C2C5B"/>
              </a:solidFill>
              <a:ln w="19050">
                <a:solidFill>
                  <a:schemeClr val="lt1"/>
                </a:solidFill>
              </a:ln>
              <a:effectLst/>
            </c:spPr>
            <c:extLst>
              <c:ext xmlns:c16="http://schemas.microsoft.com/office/drawing/2014/chart" uri="{C3380CC4-5D6E-409C-BE32-E72D297353CC}">
                <c16:uniqueId val="{00000007-1D3C-4E09-8F62-2B5FFBC4F6A9}"/>
              </c:ext>
            </c:extLst>
          </c:dPt>
          <c:cat>
            <c:strRef>
              <c:f>'pivot analyser'!$U$20:$U$23</c:f>
              <c:strCache>
                <c:ptCount val="4"/>
                <c:pt idx="0">
                  <c:v>New</c:v>
                </c:pt>
                <c:pt idx="1">
                  <c:v>Refurbished</c:v>
                </c:pt>
                <c:pt idx="2">
                  <c:v>Used - Fair</c:v>
                </c:pt>
                <c:pt idx="3">
                  <c:v>Used - Good</c:v>
                </c:pt>
              </c:strCache>
            </c:strRef>
          </c:cat>
          <c:val>
            <c:numRef>
              <c:f>'pivot analyser'!$V$20:$V$23</c:f>
              <c:numCache>
                <c:formatCode>_-[$₦-466]\ * #,##0.00_-;\-[$₦-466]\ * #,##0.00_-;_-[$₦-466]\ * "-"??_-;_-@_-</c:formatCode>
                <c:ptCount val="4"/>
                <c:pt idx="0">
                  <c:v>181100</c:v>
                </c:pt>
                <c:pt idx="1">
                  <c:v>36400</c:v>
                </c:pt>
                <c:pt idx="2">
                  <c:v>3800</c:v>
                </c:pt>
                <c:pt idx="3">
                  <c:v>54400</c:v>
                </c:pt>
              </c:numCache>
            </c:numRef>
          </c:val>
          <c:extLst>
            <c:ext xmlns:c16="http://schemas.microsoft.com/office/drawing/2014/chart" uri="{C3380CC4-5D6E-409C-BE32-E72D297353CC}">
              <c16:uniqueId val="{00000008-1D3C-4E09-8F62-2B5FFBC4F6A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FC92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2C5B"/>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analyser'!$U$3:$U$7</c:f>
              <c:strCache>
                <c:ptCount val="5"/>
                <c:pt idx="0">
                  <c:v>Australia</c:v>
                </c:pt>
                <c:pt idx="1">
                  <c:v>USA</c:v>
                </c:pt>
                <c:pt idx="2">
                  <c:v>UAE</c:v>
                </c:pt>
                <c:pt idx="3">
                  <c:v>Germany</c:v>
                </c:pt>
                <c:pt idx="4">
                  <c:v>France</c:v>
                </c:pt>
              </c:strCache>
            </c:strRef>
          </c:cat>
          <c:val>
            <c:numRef>
              <c:f>'pivot analyser'!$V$3:$V$7</c:f>
              <c:numCache>
                <c:formatCode>General</c:formatCode>
                <c:ptCount val="5"/>
                <c:pt idx="0">
                  <c:v>163</c:v>
                </c:pt>
                <c:pt idx="1">
                  <c:v>118</c:v>
                </c:pt>
                <c:pt idx="2">
                  <c:v>94</c:v>
                </c:pt>
                <c:pt idx="3">
                  <c:v>60</c:v>
                </c:pt>
                <c:pt idx="4">
                  <c:v>59</c:v>
                </c:pt>
              </c:numCache>
            </c:numRef>
          </c:val>
          <c:extLst>
            <c:ext xmlns:c16="http://schemas.microsoft.com/office/drawing/2014/chart" uri="{C3380CC4-5D6E-409C-BE32-E72D297353CC}">
              <c16:uniqueId val="{00000000-5685-4FC0-B35A-D492E1740BD7}"/>
            </c:ext>
          </c:extLst>
        </c:ser>
        <c:dLbls>
          <c:dLblPos val="outEnd"/>
          <c:showLegendKey val="0"/>
          <c:showVal val="1"/>
          <c:showCatName val="0"/>
          <c:showSerName val="0"/>
          <c:showPercent val="0"/>
          <c:showBubbleSize val="0"/>
        </c:dLbls>
        <c:gapWidth val="119"/>
        <c:overlap val="-27"/>
        <c:axId val="703875791"/>
        <c:axId val="703866671"/>
      </c:barChart>
      <c:catAx>
        <c:axId val="703875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703866671"/>
        <c:crosses val="autoZero"/>
        <c:auto val="1"/>
        <c:lblAlgn val="ctr"/>
        <c:lblOffset val="100"/>
        <c:noMultiLvlLbl val="0"/>
      </c:catAx>
      <c:valAx>
        <c:axId val="703866671"/>
        <c:scaling>
          <c:orientation val="minMax"/>
        </c:scaling>
        <c:delete val="1"/>
        <c:axPos val="l"/>
        <c:numFmt formatCode="General" sourceLinked="1"/>
        <c:majorTickMark val="none"/>
        <c:minorTickMark val="none"/>
        <c:tickLblPos val="nextTo"/>
        <c:crossAx val="7038757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analyser'!$D$84:$D$88</c:f>
              <c:strCache>
                <c:ptCount val="5"/>
                <c:pt idx="0">
                  <c:v>Minna Federal Medical Center</c:v>
                </c:pt>
                <c:pt idx="1">
                  <c:v>Yenagoa Medical Center</c:v>
                </c:pt>
                <c:pt idx="2">
                  <c:v>Dutse General Hospital</c:v>
                </c:pt>
                <c:pt idx="3">
                  <c:v>Benin City General Hospital</c:v>
                </c:pt>
                <c:pt idx="4">
                  <c:v>Gusau General Hospital</c:v>
                </c:pt>
              </c:strCache>
            </c:strRef>
          </c:cat>
          <c:val>
            <c:numRef>
              <c:f>'pivot analyser'!$E$84:$E$88</c:f>
              <c:numCache>
                <c:formatCode>_-[$₦-466]\ * #,##0.00_-;\-[$₦-466]\ * #,##0.00_-;_-[$₦-466]\ * "-"??_-;_-@_-</c:formatCode>
                <c:ptCount val="5"/>
                <c:pt idx="0">
                  <c:v>1815000</c:v>
                </c:pt>
                <c:pt idx="1">
                  <c:v>1434000</c:v>
                </c:pt>
                <c:pt idx="2">
                  <c:v>1335000</c:v>
                </c:pt>
                <c:pt idx="3">
                  <c:v>1274000</c:v>
                </c:pt>
                <c:pt idx="4">
                  <c:v>1230000</c:v>
                </c:pt>
              </c:numCache>
            </c:numRef>
          </c:val>
          <c:extLst>
            <c:ext xmlns:c16="http://schemas.microsoft.com/office/drawing/2014/chart" uri="{C3380CC4-5D6E-409C-BE32-E72D297353CC}">
              <c16:uniqueId val="{00000000-9070-4ABD-BADB-5B11A87AE2EF}"/>
            </c:ext>
          </c:extLst>
        </c:ser>
        <c:dLbls>
          <c:dLblPos val="ctr"/>
          <c:showLegendKey val="0"/>
          <c:showVal val="1"/>
          <c:showCatName val="0"/>
          <c:showSerName val="0"/>
          <c:showPercent val="0"/>
          <c:showBubbleSize val="0"/>
        </c:dLbls>
        <c:gapWidth val="92"/>
        <c:axId val="1429363295"/>
        <c:axId val="1429363775"/>
      </c:barChart>
      <c:catAx>
        <c:axId val="14293632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rgbClr val="333333"/>
                </a:solidFill>
                <a:latin typeface="+mn-lt"/>
                <a:ea typeface="+mn-ea"/>
                <a:cs typeface="+mn-cs"/>
              </a:defRPr>
            </a:pPr>
            <a:endParaRPr lang="en-US"/>
          </a:p>
        </c:txPr>
        <c:crossAx val="1429363775"/>
        <c:crosses val="autoZero"/>
        <c:auto val="1"/>
        <c:lblAlgn val="ctr"/>
        <c:lblOffset val="100"/>
        <c:noMultiLvlLbl val="0"/>
      </c:catAx>
      <c:valAx>
        <c:axId val="1429363775"/>
        <c:scaling>
          <c:orientation val="minMax"/>
        </c:scaling>
        <c:delete val="1"/>
        <c:axPos val="b"/>
        <c:numFmt formatCode="_-[$₦-466]\ * #,##0.00_-;\-[$₦-466]\ * #,##0.00_-;_-[$₦-466]\ * &quot;-&quot;??_-;_-@_-" sourceLinked="1"/>
        <c:majorTickMark val="none"/>
        <c:minorTickMark val="none"/>
        <c:tickLblPos val="nextTo"/>
        <c:crossAx val="14293632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333333"/>
          </a:solidFill>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F3BB1F96-29F4-47D4-8A9A-A2EFEF9E26CB}">
          <cx:spPr>
            <a:solidFill>
              <a:srgbClr val="1C2C5B"/>
            </a:solidFill>
          </cx:spPr>
          <cx:dataLabels>
            <cx:txPr>
              <a:bodyPr spcFirstLastPara="1" vertOverflow="ellipsis" horzOverflow="overflow" wrap="square" lIns="0" tIns="0" rIns="0" bIns="0" anchor="ctr" anchorCtr="1"/>
              <a:lstStyle/>
              <a:p>
                <a:pPr algn="ctr" rtl="0">
                  <a:defRPr sz="1400" b="1">
                    <a:solidFill>
                      <a:srgbClr val="F2F2F2"/>
                    </a:solidFill>
                    <a:latin typeface="Calibri" panose="020F0502020204030204" pitchFamily="34" charset="0"/>
                    <a:ea typeface="Calibri" panose="020F0502020204030204" pitchFamily="34" charset="0"/>
                    <a:cs typeface="Calibri" panose="020F0502020204030204" pitchFamily="34" charset="0"/>
                  </a:defRPr>
                </a:pPr>
                <a:endParaRPr lang="en-GB" sz="1400" b="1" i="0" u="none" strike="noStrike" baseline="0">
                  <a:solidFill>
                    <a:srgbClr val="F2F2F2"/>
                  </a:solidFill>
                  <a:latin typeface="Calibri" panose="020F0502020204030204" pitchFamily="34" charset="0"/>
                  <a:cs typeface="Calibri" panose="020F0502020204030204" pitchFamily="34" charset="0"/>
                </a:endParaRPr>
              </a:p>
            </cx:txPr>
            <cx:visibility seriesName="0" categoryName="0" value="1"/>
            <cx:dataLabel idx="0">
              <cx:txPr>
                <a:bodyPr spcFirstLastPara="1" vertOverflow="ellipsis" horzOverflow="overflow" wrap="square" lIns="0" tIns="0" rIns="0" bIns="0" anchor="ctr" anchorCtr="1"/>
                <a:lstStyle/>
                <a:p>
                  <a:pPr algn="ctr" rtl="0">
                    <a:defRPr sz="1400"/>
                  </a:pPr>
                  <a:r>
                    <a:rPr lang="en-GB" sz="1400" b="1" i="0" u="none" strike="noStrike" baseline="0">
                      <a:solidFill>
                        <a:srgbClr val="F2F2F2"/>
                      </a:solidFill>
                      <a:latin typeface="Calibri" panose="020F0502020204030204" pitchFamily="34" charset="0"/>
                      <a:cs typeface="Calibri" panose="020F0502020204030204" pitchFamily="34" charset="0"/>
                    </a:rPr>
                    <a:t>23</a:t>
                  </a:r>
                </a:p>
              </cx:txPr>
            </cx:dataLabel>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000" b="1">
                <a:latin typeface="Calibri" panose="020F0502020204030204" pitchFamily="34" charset="0"/>
                <a:ea typeface="Calibri" panose="020F0502020204030204" pitchFamily="34" charset="0"/>
                <a:cs typeface="Calibri" panose="020F0502020204030204" pitchFamily="34" charset="0"/>
              </a:defRPr>
            </a:pPr>
            <a:endParaRPr lang="en-GB" sz="1000" b="1" i="0" u="none" strike="noStrike" baseline="0">
              <a:solidFill>
                <a:sysClr val="windowText" lastClr="000000">
                  <a:lumMod val="65000"/>
                  <a:lumOff val="35000"/>
                </a:sysClr>
              </a:solidFill>
              <a:latin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504824</xdr:colOff>
      <xdr:row>3</xdr:row>
      <xdr:rowOff>47625</xdr:rowOff>
    </xdr:to>
    <xdr:sp macro="" textlink="">
      <xdr:nvSpPr>
        <xdr:cNvPr id="3" name="TextBox 2">
          <a:extLst>
            <a:ext uri="{FF2B5EF4-FFF2-40B4-BE49-F238E27FC236}">
              <a16:creationId xmlns:a16="http://schemas.microsoft.com/office/drawing/2014/main" id="{5B3CE828-7635-5FB4-FE34-197AB2206712}"/>
            </a:ext>
          </a:extLst>
        </xdr:cNvPr>
        <xdr:cNvSpPr txBox="1"/>
      </xdr:nvSpPr>
      <xdr:spPr>
        <a:xfrm>
          <a:off x="0" y="0"/>
          <a:ext cx="10258424"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Calibri" panose="020F0502020204030204" pitchFamily="34" charset="0"/>
              <a:cs typeface="Calibri" panose="020F0502020204030204" pitchFamily="34" charset="0"/>
            </a:rPr>
            <a:t>Medical Procurement Analytics Over</a:t>
          </a:r>
          <a:r>
            <a:rPr lang="en-US" sz="3600" b="1" baseline="0">
              <a:latin typeface="Calibri" panose="020F0502020204030204" pitchFamily="34" charset="0"/>
              <a:cs typeface="Calibri" panose="020F0502020204030204" pitchFamily="34" charset="0"/>
            </a:rPr>
            <a:t>view </a:t>
          </a:r>
          <a:r>
            <a:rPr lang="en-US" sz="3600" b="1">
              <a:latin typeface="Calibri" panose="020F0502020204030204" pitchFamily="34" charset="0"/>
              <a:cs typeface="Calibri" panose="020F0502020204030204" pitchFamily="34" charset="0"/>
            </a:rPr>
            <a:t>Dashboard</a:t>
          </a:r>
        </a:p>
      </xdr:txBody>
    </xdr:sp>
    <xdr:clientData/>
  </xdr:twoCellAnchor>
  <xdr:twoCellAnchor>
    <xdr:from>
      <xdr:col>0</xdr:col>
      <xdr:colOff>95249</xdr:colOff>
      <xdr:row>3</xdr:row>
      <xdr:rowOff>161926</xdr:rowOff>
    </xdr:from>
    <xdr:to>
      <xdr:col>4</xdr:col>
      <xdr:colOff>123825</xdr:colOff>
      <xdr:row>7</xdr:row>
      <xdr:rowOff>28575</xdr:rowOff>
    </xdr:to>
    <xdr:sp macro="" textlink="">
      <xdr:nvSpPr>
        <xdr:cNvPr id="4" name="Rectangle: Rounded Corners 3">
          <a:extLst>
            <a:ext uri="{FF2B5EF4-FFF2-40B4-BE49-F238E27FC236}">
              <a16:creationId xmlns:a16="http://schemas.microsoft.com/office/drawing/2014/main" id="{DF15D13C-E079-13E9-F47B-21D3818A7E6A}"/>
            </a:ext>
          </a:extLst>
        </xdr:cNvPr>
        <xdr:cNvSpPr/>
      </xdr:nvSpPr>
      <xdr:spPr>
        <a:xfrm>
          <a:off x="95249" y="733426"/>
          <a:ext cx="2466976" cy="628649"/>
        </a:xfrm>
        <a:prstGeom prst="roundRect">
          <a:avLst>
            <a:gd name="adj" fmla="val 0"/>
          </a:avLst>
        </a:prstGeom>
        <a:noFill/>
        <a:ln w="57150">
          <a:solidFill>
            <a:srgbClr val="1C2C5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3</xdr:row>
      <xdr:rowOff>114300</xdr:rowOff>
    </xdr:from>
    <xdr:to>
      <xdr:col>4</xdr:col>
      <xdr:colOff>104775</xdr:colOff>
      <xdr:row>5</xdr:row>
      <xdr:rowOff>28575</xdr:rowOff>
    </xdr:to>
    <xdr:sp macro="" textlink="">
      <xdr:nvSpPr>
        <xdr:cNvPr id="5" name="TextBox 4">
          <a:extLst>
            <a:ext uri="{FF2B5EF4-FFF2-40B4-BE49-F238E27FC236}">
              <a16:creationId xmlns:a16="http://schemas.microsoft.com/office/drawing/2014/main" id="{ACFD206F-FD8B-225B-D8F3-45043AB2607C}"/>
            </a:ext>
          </a:extLst>
        </xdr:cNvPr>
        <xdr:cNvSpPr txBox="1"/>
      </xdr:nvSpPr>
      <xdr:spPr>
        <a:xfrm>
          <a:off x="133350" y="685800"/>
          <a:ext cx="24098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Total Equipment</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Procured</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4</xdr:col>
      <xdr:colOff>304799</xdr:colOff>
      <xdr:row>3</xdr:row>
      <xdr:rowOff>152401</xdr:rowOff>
    </xdr:from>
    <xdr:to>
      <xdr:col>8</xdr:col>
      <xdr:colOff>333375</xdr:colOff>
      <xdr:row>7</xdr:row>
      <xdr:rowOff>19050</xdr:rowOff>
    </xdr:to>
    <xdr:sp macro="" textlink="">
      <xdr:nvSpPr>
        <xdr:cNvPr id="2" name="Rectangle: Rounded Corners 1">
          <a:extLst>
            <a:ext uri="{FF2B5EF4-FFF2-40B4-BE49-F238E27FC236}">
              <a16:creationId xmlns:a16="http://schemas.microsoft.com/office/drawing/2014/main" id="{FC819D59-A73B-F5E9-424F-EB3C09E436DC}"/>
            </a:ext>
          </a:extLst>
        </xdr:cNvPr>
        <xdr:cNvSpPr/>
      </xdr:nvSpPr>
      <xdr:spPr>
        <a:xfrm>
          <a:off x="2743199" y="723901"/>
          <a:ext cx="2466976" cy="628649"/>
        </a:xfrm>
        <a:prstGeom prst="roundRect">
          <a:avLst>
            <a:gd name="adj" fmla="val 0"/>
          </a:avLst>
        </a:prstGeom>
        <a:noFill/>
        <a:ln w="57150">
          <a:solidFill>
            <a:srgbClr val="FFC9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476251</xdr:colOff>
      <xdr:row>3</xdr:row>
      <xdr:rowOff>114300</xdr:rowOff>
    </xdr:from>
    <xdr:to>
      <xdr:col>8</xdr:col>
      <xdr:colOff>304801</xdr:colOff>
      <xdr:row>5</xdr:row>
      <xdr:rowOff>28575</xdr:rowOff>
    </xdr:to>
    <xdr:sp macro="" textlink="">
      <xdr:nvSpPr>
        <xdr:cNvPr id="7" name="TextBox 6">
          <a:extLst>
            <a:ext uri="{FF2B5EF4-FFF2-40B4-BE49-F238E27FC236}">
              <a16:creationId xmlns:a16="http://schemas.microsoft.com/office/drawing/2014/main" id="{082EDBB8-00C3-4FDC-1160-2307983FD1CA}"/>
            </a:ext>
          </a:extLst>
        </xdr:cNvPr>
        <xdr:cNvSpPr txBox="1"/>
      </xdr:nvSpPr>
      <xdr:spPr>
        <a:xfrm>
          <a:off x="2914651" y="685800"/>
          <a:ext cx="22669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Total</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Procurement Cost</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8</xdr:col>
      <xdr:colOff>504824</xdr:colOff>
      <xdr:row>3</xdr:row>
      <xdr:rowOff>133351</xdr:rowOff>
    </xdr:from>
    <xdr:to>
      <xdr:col>11</xdr:col>
      <xdr:colOff>428625</xdr:colOff>
      <xdr:row>7</xdr:row>
      <xdr:rowOff>0</xdr:rowOff>
    </xdr:to>
    <xdr:sp macro="" textlink="">
      <xdr:nvSpPr>
        <xdr:cNvPr id="9" name="Rectangle: Rounded Corners 8">
          <a:extLst>
            <a:ext uri="{FF2B5EF4-FFF2-40B4-BE49-F238E27FC236}">
              <a16:creationId xmlns:a16="http://schemas.microsoft.com/office/drawing/2014/main" id="{E4366C3F-1213-54B9-6394-DC736BCC8360}"/>
            </a:ext>
          </a:extLst>
        </xdr:cNvPr>
        <xdr:cNvSpPr/>
      </xdr:nvSpPr>
      <xdr:spPr>
        <a:xfrm>
          <a:off x="5381624" y="704851"/>
          <a:ext cx="1752601" cy="676274"/>
        </a:xfrm>
        <a:prstGeom prst="roundRect">
          <a:avLst>
            <a:gd name="adj" fmla="val 0"/>
          </a:avLst>
        </a:prstGeom>
        <a:noFill/>
        <a:ln w="57150">
          <a:solidFill>
            <a:srgbClr val="1C2C5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504826</xdr:colOff>
      <xdr:row>3</xdr:row>
      <xdr:rowOff>114300</xdr:rowOff>
    </xdr:from>
    <xdr:to>
      <xdr:col>11</xdr:col>
      <xdr:colOff>485775</xdr:colOff>
      <xdr:row>5</xdr:row>
      <xdr:rowOff>28575</xdr:rowOff>
    </xdr:to>
    <xdr:sp macro="" textlink="">
      <xdr:nvSpPr>
        <xdr:cNvPr id="10" name="TextBox 9">
          <a:extLst>
            <a:ext uri="{FF2B5EF4-FFF2-40B4-BE49-F238E27FC236}">
              <a16:creationId xmlns:a16="http://schemas.microsoft.com/office/drawing/2014/main" id="{8ABC305D-687E-774A-54D6-902DEC70EE7A}"/>
            </a:ext>
          </a:extLst>
        </xdr:cNvPr>
        <xdr:cNvSpPr txBox="1"/>
      </xdr:nvSpPr>
      <xdr:spPr>
        <a:xfrm>
          <a:off x="5381626" y="685800"/>
          <a:ext cx="18097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Average</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Unit Price</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12</xdr:col>
      <xdr:colOff>76199</xdr:colOff>
      <xdr:row>3</xdr:row>
      <xdr:rowOff>142876</xdr:rowOff>
    </xdr:from>
    <xdr:to>
      <xdr:col>15</xdr:col>
      <xdr:colOff>323850</xdr:colOff>
      <xdr:row>7</xdr:row>
      <xdr:rowOff>9525</xdr:rowOff>
    </xdr:to>
    <xdr:sp macro="" textlink="">
      <xdr:nvSpPr>
        <xdr:cNvPr id="12" name="Rectangle: Rounded Corners 11">
          <a:extLst>
            <a:ext uri="{FF2B5EF4-FFF2-40B4-BE49-F238E27FC236}">
              <a16:creationId xmlns:a16="http://schemas.microsoft.com/office/drawing/2014/main" id="{57B9430F-6FC8-2A94-4F41-1B294698BB3F}"/>
            </a:ext>
          </a:extLst>
        </xdr:cNvPr>
        <xdr:cNvSpPr/>
      </xdr:nvSpPr>
      <xdr:spPr>
        <a:xfrm>
          <a:off x="7391399" y="714376"/>
          <a:ext cx="2076451" cy="628649"/>
        </a:xfrm>
        <a:prstGeom prst="roundRect">
          <a:avLst>
            <a:gd name="adj" fmla="val 0"/>
          </a:avLst>
        </a:prstGeom>
        <a:noFill/>
        <a:ln w="57150">
          <a:solidFill>
            <a:srgbClr val="FFC9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66676</xdr:colOff>
      <xdr:row>3</xdr:row>
      <xdr:rowOff>114300</xdr:rowOff>
    </xdr:from>
    <xdr:to>
      <xdr:col>15</xdr:col>
      <xdr:colOff>361950</xdr:colOff>
      <xdr:row>5</xdr:row>
      <xdr:rowOff>28575</xdr:rowOff>
    </xdr:to>
    <xdr:sp macro="" textlink="">
      <xdr:nvSpPr>
        <xdr:cNvPr id="13" name="TextBox 12">
          <a:extLst>
            <a:ext uri="{FF2B5EF4-FFF2-40B4-BE49-F238E27FC236}">
              <a16:creationId xmlns:a16="http://schemas.microsoft.com/office/drawing/2014/main" id="{9AC19DE4-7E1F-EC65-8721-54A115AAE536}"/>
            </a:ext>
          </a:extLst>
        </xdr:cNvPr>
        <xdr:cNvSpPr txBox="1"/>
      </xdr:nvSpPr>
      <xdr:spPr>
        <a:xfrm>
          <a:off x="7381876" y="685800"/>
          <a:ext cx="21240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Average</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Delivery Time</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15</xdr:col>
      <xdr:colOff>542924</xdr:colOff>
      <xdr:row>3</xdr:row>
      <xdr:rowOff>142876</xdr:rowOff>
    </xdr:from>
    <xdr:to>
      <xdr:col>19</xdr:col>
      <xdr:colOff>381000</xdr:colOff>
      <xdr:row>7</xdr:row>
      <xdr:rowOff>9525</xdr:rowOff>
    </xdr:to>
    <xdr:sp macro="" textlink="">
      <xdr:nvSpPr>
        <xdr:cNvPr id="15" name="Rectangle: Rounded Corners 14">
          <a:extLst>
            <a:ext uri="{FF2B5EF4-FFF2-40B4-BE49-F238E27FC236}">
              <a16:creationId xmlns:a16="http://schemas.microsoft.com/office/drawing/2014/main" id="{00BE22C7-A940-1620-61B3-B32C1ACAFD82}"/>
            </a:ext>
          </a:extLst>
        </xdr:cNvPr>
        <xdr:cNvSpPr/>
      </xdr:nvSpPr>
      <xdr:spPr>
        <a:xfrm>
          <a:off x="9686924" y="714376"/>
          <a:ext cx="2276476" cy="628649"/>
        </a:xfrm>
        <a:prstGeom prst="roundRect">
          <a:avLst>
            <a:gd name="adj" fmla="val 0"/>
          </a:avLst>
        </a:prstGeom>
        <a:noFill/>
        <a:ln w="57150">
          <a:solidFill>
            <a:srgbClr val="1C2C5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542925</xdr:colOff>
      <xdr:row>3</xdr:row>
      <xdr:rowOff>95250</xdr:rowOff>
    </xdr:from>
    <xdr:to>
      <xdr:col>19</xdr:col>
      <xdr:colOff>323850</xdr:colOff>
      <xdr:row>5</xdr:row>
      <xdr:rowOff>9525</xdr:rowOff>
    </xdr:to>
    <xdr:sp macro="" textlink="">
      <xdr:nvSpPr>
        <xdr:cNvPr id="16" name="TextBox 15">
          <a:extLst>
            <a:ext uri="{FF2B5EF4-FFF2-40B4-BE49-F238E27FC236}">
              <a16:creationId xmlns:a16="http://schemas.microsoft.com/office/drawing/2014/main" id="{D9D1E253-8781-5663-45EC-130A7E4CA4F1}"/>
            </a:ext>
          </a:extLst>
        </xdr:cNvPr>
        <xdr:cNvSpPr txBox="1"/>
      </xdr:nvSpPr>
      <xdr:spPr>
        <a:xfrm>
          <a:off x="9686925" y="666750"/>
          <a:ext cx="22193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Total</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Maintenance Cost</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19</xdr:col>
      <xdr:colOff>590549</xdr:colOff>
      <xdr:row>3</xdr:row>
      <xdr:rowOff>123826</xdr:rowOff>
    </xdr:from>
    <xdr:to>
      <xdr:col>23</xdr:col>
      <xdr:colOff>228600</xdr:colOff>
      <xdr:row>6</xdr:row>
      <xdr:rowOff>180975</xdr:rowOff>
    </xdr:to>
    <xdr:sp macro="" textlink="">
      <xdr:nvSpPr>
        <xdr:cNvPr id="18" name="Rectangle: Rounded Corners 17">
          <a:extLst>
            <a:ext uri="{FF2B5EF4-FFF2-40B4-BE49-F238E27FC236}">
              <a16:creationId xmlns:a16="http://schemas.microsoft.com/office/drawing/2014/main" id="{A5135330-C47E-5B23-74B5-13FB528AAA09}"/>
            </a:ext>
          </a:extLst>
        </xdr:cNvPr>
        <xdr:cNvSpPr/>
      </xdr:nvSpPr>
      <xdr:spPr>
        <a:xfrm>
          <a:off x="12172949" y="695326"/>
          <a:ext cx="2076451" cy="628649"/>
        </a:xfrm>
        <a:prstGeom prst="roundRect">
          <a:avLst>
            <a:gd name="adj" fmla="val 0"/>
          </a:avLst>
        </a:prstGeom>
        <a:noFill/>
        <a:ln w="57150">
          <a:solidFill>
            <a:srgbClr val="FFC92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590551</xdr:colOff>
      <xdr:row>3</xdr:row>
      <xdr:rowOff>114300</xdr:rowOff>
    </xdr:from>
    <xdr:to>
      <xdr:col>23</xdr:col>
      <xdr:colOff>228601</xdr:colOff>
      <xdr:row>5</xdr:row>
      <xdr:rowOff>28575</xdr:rowOff>
    </xdr:to>
    <xdr:sp macro="" textlink="">
      <xdr:nvSpPr>
        <xdr:cNvPr id="19" name="TextBox 18">
          <a:extLst>
            <a:ext uri="{FF2B5EF4-FFF2-40B4-BE49-F238E27FC236}">
              <a16:creationId xmlns:a16="http://schemas.microsoft.com/office/drawing/2014/main" id="{50E6BDD4-93EB-4EA1-DEF8-494F75424FBB}"/>
            </a:ext>
          </a:extLst>
        </xdr:cNvPr>
        <xdr:cNvSpPr txBox="1"/>
      </xdr:nvSpPr>
      <xdr:spPr>
        <a:xfrm>
          <a:off x="12172951" y="685800"/>
          <a:ext cx="20764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dk1"/>
              </a:solidFill>
              <a:effectLst/>
              <a:latin typeface="Calibri" panose="020F0502020204030204" pitchFamily="34" charset="0"/>
              <a:ea typeface="+mn-ea"/>
              <a:cs typeface="Calibri" panose="020F0502020204030204" pitchFamily="34" charset="0"/>
            </a:rPr>
            <a:t>Total</a:t>
          </a:r>
          <a:r>
            <a:rPr lang="en-US" sz="1600" b="1" i="0" u="none" strike="noStrike" baseline="0">
              <a:solidFill>
                <a:schemeClr val="dk1"/>
              </a:solidFill>
              <a:effectLst/>
              <a:latin typeface="Calibri" panose="020F0502020204030204" pitchFamily="34" charset="0"/>
              <a:ea typeface="+mn-ea"/>
              <a:cs typeface="Calibri" panose="020F0502020204030204" pitchFamily="34" charset="0"/>
            </a:rPr>
            <a:t> Installation Cost</a:t>
          </a:r>
          <a:endParaRPr lang="en-US" sz="1600" b="1" i="0" u="none" strike="noStrike">
            <a:solidFill>
              <a:schemeClr val="dk1"/>
            </a:solidFill>
            <a:effectLst/>
            <a:latin typeface="Calibri" panose="020F0502020204030204" pitchFamily="34" charset="0"/>
            <a:ea typeface="+mn-ea"/>
            <a:cs typeface="Calibri" panose="020F0502020204030204" pitchFamily="34" charset="0"/>
          </a:endParaRPr>
        </a:p>
      </xdr:txBody>
    </xdr:sp>
    <xdr:clientData/>
  </xdr:twoCellAnchor>
  <xdr:twoCellAnchor>
    <xdr:from>
      <xdr:col>0</xdr:col>
      <xdr:colOff>0</xdr:colOff>
      <xdr:row>26</xdr:row>
      <xdr:rowOff>66675</xdr:rowOff>
    </xdr:from>
    <xdr:to>
      <xdr:col>6</xdr:col>
      <xdr:colOff>180975</xdr:colOff>
      <xdr:row>39</xdr:row>
      <xdr:rowOff>152400</xdr:rowOff>
    </xdr:to>
    <xdr:sp macro="" textlink="">
      <xdr:nvSpPr>
        <xdr:cNvPr id="21" name="Rectangle: Rounded Corners 20">
          <a:extLst>
            <a:ext uri="{FF2B5EF4-FFF2-40B4-BE49-F238E27FC236}">
              <a16:creationId xmlns:a16="http://schemas.microsoft.com/office/drawing/2014/main" id="{7DDC2F37-531C-8DE2-AF50-35E1435370E1}"/>
            </a:ext>
          </a:extLst>
        </xdr:cNvPr>
        <xdr:cNvSpPr/>
      </xdr:nvSpPr>
      <xdr:spPr>
        <a:xfrm>
          <a:off x="0" y="5067300"/>
          <a:ext cx="3838575" cy="2562225"/>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266700</xdr:colOff>
      <xdr:row>25</xdr:row>
      <xdr:rowOff>66675</xdr:rowOff>
    </xdr:from>
    <xdr:to>
      <xdr:col>5</xdr:col>
      <xdr:colOff>419100</xdr:colOff>
      <xdr:row>27</xdr:row>
      <xdr:rowOff>114301</xdr:rowOff>
    </xdr:to>
    <xdr:sp macro="" textlink="">
      <xdr:nvSpPr>
        <xdr:cNvPr id="22" name="Rectangle: Rounded Corners 21">
          <a:extLst>
            <a:ext uri="{FF2B5EF4-FFF2-40B4-BE49-F238E27FC236}">
              <a16:creationId xmlns:a16="http://schemas.microsoft.com/office/drawing/2014/main" id="{5126DF90-FAEE-FB88-3541-B1A22D1CB438}"/>
            </a:ext>
          </a:extLst>
        </xdr:cNvPr>
        <xdr:cNvSpPr/>
      </xdr:nvSpPr>
      <xdr:spPr>
        <a:xfrm>
          <a:off x="266700" y="4829175"/>
          <a:ext cx="3200400" cy="428626"/>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25</xdr:row>
      <xdr:rowOff>104775</xdr:rowOff>
    </xdr:from>
    <xdr:to>
      <xdr:col>5</xdr:col>
      <xdr:colOff>295275</xdr:colOff>
      <xdr:row>27</xdr:row>
      <xdr:rowOff>57150</xdr:rowOff>
    </xdr:to>
    <xdr:sp macro="" textlink="">
      <xdr:nvSpPr>
        <xdr:cNvPr id="24" name="TextBox 23">
          <a:extLst>
            <a:ext uri="{FF2B5EF4-FFF2-40B4-BE49-F238E27FC236}">
              <a16:creationId xmlns:a16="http://schemas.microsoft.com/office/drawing/2014/main" id="{F480A4A1-2F83-7B16-E536-CA2F8C5099AA}"/>
            </a:ext>
          </a:extLst>
        </xdr:cNvPr>
        <xdr:cNvSpPr txBox="1"/>
      </xdr:nvSpPr>
      <xdr:spPr>
        <a:xfrm>
          <a:off x="381000" y="4867275"/>
          <a:ext cx="29622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Top 5 Hospitals By procurement Cost</a:t>
          </a:r>
        </a:p>
      </xdr:txBody>
    </xdr:sp>
    <xdr:clientData/>
  </xdr:twoCellAnchor>
  <xdr:twoCellAnchor>
    <xdr:from>
      <xdr:col>0</xdr:col>
      <xdr:colOff>0</xdr:colOff>
      <xdr:row>11</xdr:row>
      <xdr:rowOff>47625</xdr:rowOff>
    </xdr:from>
    <xdr:to>
      <xdr:col>5</xdr:col>
      <xdr:colOff>257175</xdr:colOff>
      <xdr:row>24</xdr:row>
      <xdr:rowOff>47624</xdr:rowOff>
    </xdr:to>
    <xdr:graphicFrame macro="">
      <xdr:nvGraphicFramePr>
        <xdr:cNvPr id="25" name="Chart 24">
          <a:extLst>
            <a:ext uri="{FF2B5EF4-FFF2-40B4-BE49-F238E27FC236}">
              <a16:creationId xmlns:a16="http://schemas.microsoft.com/office/drawing/2014/main" id="{C5ACA64A-C7F7-49C6-831F-D675E1D2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9</xdr:row>
      <xdr:rowOff>85725</xdr:rowOff>
    </xdr:from>
    <xdr:to>
      <xdr:col>5</xdr:col>
      <xdr:colOff>419100</xdr:colOff>
      <xdr:row>24</xdr:row>
      <xdr:rowOff>152400</xdr:rowOff>
    </xdr:to>
    <xdr:sp macro="" textlink="">
      <xdr:nvSpPr>
        <xdr:cNvPr id="27" name="Rectangle: Rounded Corners 26">
          <a:extLst>
            <a:ext uri="{FF2B5EF4-FFF2-40B4-BE49-F238E27FC236}">
              <a16:creationId xmlns:a16="http://schemas.microsoft.com/office/drawing/2014/main" id="{0021B84E-89AA-3B35-9B16-14227271B178}"/>
            </a:ext>
          </a:extLst>
        </xdr:cNvPr>
        <xdr:cNvSpPr/>
      </xdr:nvSpPr>
      <xdr:spPr>
        <a:xfrm>
          <a:off x="47625" y="1800225"/>
          <a:ext cx="3419475" cy="2924175"/>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228600</xdr:colOff>
      <xdr:row>8</xdr:row>
      <xdr:rowOff>57150</xdr:rowOff>
    </xdr:from>
    <xdr:to>
      <xdr:col>5</xdr:col>
      <xdr:colOff>152400</xdr:colOff>
      <xdr:row>10</xdr:row>
      <xdr:rowOff>28575</xdr:rowOff>
    </xdr:to>
    <xdr:sp macro="" textlink="">
      <xdr:nvSpPr>
        <xdr:cNvPr id="28" name="Rectangle: Rounded Corners 27">
          <a:extLst>
            <a:ext uri="{FF2B5EF4-FFF2-40B4-BE49-F238E27FC236}">
              <a16:creationId xmlns:a16="http://schemas.microsoft.com/office/drawing/2014/main" id="{93DCCE50-4104-66CD-1777-56B0BE179B39}"/>
            </a:ext>
          </a:extLst>
        </xdr:cNvPr>
        <xdr:cNvSpPr/>
      </xdr:nvSpPr>
      <xdr:spPr>
        <a:xfrm>
          <a:off x="228600" y="1581150"/>
          <a:ext cx="2971800" cy="352425"/>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190500</xdr:colOff>
      <xdr:row>8</xdr:row>
      <xdr:rowOff>76200</xdr:rowOff>
    </xdr:from>
    <xdr:to>
      <xdr:col>5</xdr:col>
      <xdr:colOff>171450</xdr:colOff>
      <xdr:row>10</xdr:row>
      <xdr:rowOff>28575</xdr:rowOff>
    </xdr:to>
    <xdr:sp macro="" textlink="">
      <xdr:nvSpPr>
        <xdr:cNvPr id="29" name="TextBox 28">
          <a:extLst>
            <a:ext uri="{FF2B5EF4-FFF2-40B4-BE49-F238E27FC236}">
              <a16:creationId xmlns:a16="http://schemas.microsoft.com/office/drawing/2014/main" id="{6F1D0C27-960D-EDDE-714F-FC73C7623FA9}"/>
            </a:ext>
          </a:extLst>
        </xdr:cNvPr>
        <xdr:cNvSpPr txBox="1"/>
      </xdr:nvSpPr>
      <xdr:spPr>
        <a:xfrm>
          <a:off x="190500" y="1600200"/>
          <a:ext cx="30289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Top 5 Equipment</a:t>
          </a:r>
          <a:r>
            <a:rPr lang="en-US" sz="1400" b="1" baseline="0">
              <a:latin typeface="Calibri" panose="020F0502020204030204" pitchFamily="34" charset="0"/>
              <a:cs typeface="Calibri" panose="020F0502020204030204" pitchFamily="34" charset="0"/>
            </a:rPr>
            <a:t> Suppliers By Country</a:t>
          </a:r>
          <a:endParaRPr lang="en-US" sz="1400" b="1">
            <a:latin typeface="Calibri" panose="020F0502020204030204" pitchFamily="34" charset="0"/>
            <a:cs typeface="Calibri" panose="020F0502020204030204" pitchFamily="34" charset="0"/>
          </a:endParaRPr>
        </a:p>
      </xdr:txBody>
    </xdr:sp>
    <xdr:clientData/>
  </xdr:twoCellAnchor>
  <xdr:twoCellAnchor>
    <xdr:from>
      <xdr:col>5</xdr:col>
      <xdr:colOff>523875</xdr:colOff>
      <xdr:row>9</xdr:row>
      <xdr:rowOff>95250</xdr:rowOff>
    </xdr:from>
    <xdr:to>
      <xdr:col>12</xdr:col>
      <xdr:colOff>123825</xdr:colOff>
      <xdr:row>24</xdr:row>
      <xdr:rowOff>142875</xdr:rowOff>
    </xdr:to>
    <xdr:sp macro="" textlink="">
      <xdr:nvSpPr>
        <xdr:cNvPr id="30" name="Rectangle: Rounded Corners 29">
          <a:extLst>
            <a:ext uri="{FF2B5EF4-FFF2-40B4-BE49-F238E27FC236}">
              <a16:creationId xmlns:a16="http://schemas.microsoft.com/office/drawing/2014/main" id="{5B17F945-8ADB-9120-4886-919E56A8A267}"/>
            </a:ext>
          </a:extLst>
        </xdr:cNvPr>
        <xdr:cNvSpPr/>
      </xdr:nvSpPr>
      <xdr:spPr>
        <a:xfrm>
          <a:off x="3571875" y="1809750"/>
          <a:ext cx="3867150" cy="2905125"/>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533400</xdr:colOff>
      <xdr:row>10</xdr:row>
      <xdr:rowOff>152400</xdr:rowOff>
    </xdr:from>
    <xdr:to>
      <xdr:col>12</xdr:col>
      <xdr:colOff>161925</xdr:colOff>
      <xdr:row>23</xdr:row>
      <xdr:rowOff>142876</xdr:rowOff>
    </xdr:to>
    <xdr:graphicFrame macro="">
      <xdr:nvGraphicFramePr>
        <xdr:cNvPr id="31" name="Chart 30">
          <a:extLst>
            <a:ext uri="{FF2B5EF4-FFF2-40B4-BE49-F238E27FC236}">
              <a16:creationId xmlns:a16="http://schemas.microsoft.com/office/drawing/2014/main" id="{2465F048-22C8-4F8D-A2C1-64C36CF2D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8</xdr:row>
      <xdr:rowOff>85725</xdr:rowOff>
    </xdr:from>
    <xdr:to>
      <xdr:col>11</xdr:col>
      <xdr:colOff>419100</xdr:colOff>
      <xdr:row>10</xdr:row>
      <xdr:rowOff>133351</xdr:rowOff>
    </xdr:to>
    <xdr:sp macro="" textlink="">
      <xdr:nvSpPr>
        <xdr:cNvPr id="32" name="Rectangle: Rounded Corners 31">
          <a:extLst>
            <a:ext uri="{FF2B5EF4-FFF2-40B4-BE49-F238E27FC236}">
              <a16:creationId xmlns:a16="http://schemas.microsoft.com/office/drawing/2014/main" id="{B2667B4C-C42D-9E6B-7502-CEF8F550A376}"/>
            </a:ext>
          </a:extLst>
        </xdr:cNvPr>
        <xdr:cNvSpPr/>
      </xdr:nvSpPr>
      <xdr:spPr>
        <a:xfrm>
          <a:off x="3924300" y="1609725"/>
          <a:ext cx="3200400" cy="428626"/>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495300</xdr:colOff>
      <xdr:row>8</xdr:row>
      <xdr:rowOff>142875</xdr:rowOff>
    </xdr:from>
    <xdr:to>
      <xdr:col>11</xdr:col>
      <xdr:colOff>133350</xdr:colOff>
      <xdr:row>10</xdr:row>
      <xdr:rowOff>95250</xdr:rowOff>
    </xdr:to>
    <xdr:sp macro="" textlink="">
      <xdr:nvSpPr>
        <xdr:cNvPr id="33" name="TextBox 32">
          <a:extLst>
            <a:ext uri="{FF2B5EF4-FFF2-40B4-BE49-F238E27FC236}">
              <a16:creationId xmlns:a16="http://schemas.microsoft.com/office/drawing/2014/main" id="{6B94E065-9D78-EC1C-1632-EB5BFEC47B3D}"/>
            </a:ext>
          </a:extLst>
        </xdr:cNvPr>
        <xdr:cNvSpPr txBox="1"/>
      </xdr:nvSpPr>
      <xdr:spPr>
        <a:xfrm>
          <a:off x="4152900" y="1666875"/>
          <a:ext cx="26860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Top 10</a:t>
          </a:r>
          <a:r>
            <a:rPr lang="en-US" sz="1400" b="1" baseline="0">
              <a:latin typeface="Calibri" panose="020F0502020204030204" pitchFamily="34" charset="0"/>
              <a:cs typeface="Calibri" panose="020F0502020204030204" pitchFamily="34" charset="0"/>
            </a:rPr>
            <a:t> States by Installation Cost</a:t>
          </a:r>
          <a:endParaRPr lang="en-US" sz="1400" b="1">
            <a:latin typeface="Calibri" panose="020F0502020204030204" pitchFamily="34" charset="0"/>
            <a:cs typeface="Calibri" panose="020F0502020204030204" pitchFamily="34" charset="0"/>
          </a:endParaRPr>
        </a:p>
      </xdr:txBody>
    </xdr:sp>
    <xdr:clientData/>
  </xdr:twoCellAnchor>
  <xdr:twoCellAnchor>
    <xdr:from>
      <xdr:col>6</xdr:col>
      <xdr:colOff>314325</xdr:colOff>
      <xdr:row>26</xdr:row>
      <xdr:rowOff>47626</xdr:rowOff>
    </xdr:from>
    <xdr:to>
      <xdr:col>12</xdr:col>
      <xdr:colOff>571500</xdr:colOff>
      <xdr:row>39</xdr:row>
      <xdr:rowOff>123826</xdr:rowOff>
    </xdr:to>
    <xdr:sp macro="" textlink="">
      <xdr:nvSpPr>
        <xdr:cNvPr id="35" name="Rectangle: Rounded Corners 34">
          <a:extLst>
            <a:ext uri="{FF2B5EF4-FFF2-40B4-BE49-F238E27FC236}">
              <a16:creationId xmlns:a16="http://schemas.microsoft.com/office/drawing/2014/main" id="{5C105D6F-E051-8420-17D4-A499D1D5B6A3}"/>
            </a:ext>
          </a:extLst>
        </xdr:cNvPr>
        <xdr:cNvSpPr/>
      </xdr:nvSpPr>
      <xdr:spPr>
        <a:xfrm>
          <a:off x="3971925" y="5000626"/>
          <a:ext cx="3914775" cy="2552700"/>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390525</xdr:colOff>
      <xdr:row>27</xdr:row>
      <xdr:rowOff>142875</xdr:rowOff>
    </xdr:from>
    <xdr:to>
      <xdr:col>12</xdr:col>
      <xdr:colOff>57150</xdr:colOff>
      <xdr:row>39</xdr:row>
      <xdr:rowOff>33338</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D44B76F8-6071-4721-A6B0-AF3C913789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048125" y="5286375"/>
              <a:ext cx="3324225" cy="21764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25</xdr:row>
      <xdr:rowOff>85725</xdr:rowOff>
    </xdr:from>
    <xdr:to>
      <xdr:col>12</xdr:col>
      <xdr:colOff>152400</xdr:colOff>
      <xdr:row>27</xdr:row>
      <xdr:rowOff>133351</xdr:rowOff>
    </xdr:to>
    <xdr:sp macro="" textlink="">
      <xdr:nvSpPr>
        <xdr:cNvPr id="37" name="Rectangle: Rounded Corners 36">
          <a:extLst>
            <a:ext uri="{FF2B5EF4-FFF2-40B4-BE49-F238E27FC236}">
              <a16:creationId xmlns:a16="http://schemas.microsoft.com/office/drawing/2014/main" id="{AD7B9213-E47C-151F-9508-C71933F0A66B}"/>
            </a:ext>
          </a:extLst>
        </xdr:cNvPr>
        <xdr:cNvSpPr/>
      </xdr:nvSpPr>
      <xdr:spPr>
        <a:xfrm>
          <a:off x="4267200" y="4848225"/>
          <a:ext cx="3200400" cy="428626"/>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571500</xdr:colOff>
      <xdr:row>25</xdr:row>
      <xdr:rowOff>133350</xdr:rowOff>
    </xdr:from>
    <xdr:to>
      <xdr:col>12</xdr:col>
      <xdr:colOff>171450</xdr:colOff>
      <xdr:row>27</xdr:row>
      <xdr:rowOff>85725</xdr:rowOff>
    </xdr:to>
    <xdr:sp macro="" textlink="">
      <xdr:nvSpPr>
        <xdr:cNvPr id="38" name="TextBox 37">
          <a:extLst>
            <a:ext uri="{FF2B5EF4-FFF2-40B4-BE49-F238E27FC236}">
              <a16:creationId xmlns:a16="http://schemas.microsoft.com/office/drawing/2014/main" id="{FD0B7A8D-86FB-D63C-55CA-3554A3CECDC2}"/>
            </a:ext>
          </a:extLst>
        </xdr:cNvPr>
        <xdr:cNvSpPr txBox="1"/>
      </xdr:nvSpPr>
      <xdr:spPr>
        <a:xfrm>
          <a:off x="4229100" y="4895850"/>
          <a:ext cx="32575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Top 5 Suppliers</a:t>
          </a:r>
          <a:r>
            <a:rPr lang="en-US" sz="1400" b="1" baseline="0">
              <a:latin typeface="Calibri" panose="020F0502020204030204" pitchFamily="34" charset="0"/>
              <a:cs typeface="Calibri" panose="020F0502020204030204" pitchFamily="34" charset="0"/>
            </a:rPr>
            <a:t> By Average Delivery Days</a:t>
          </a:r>
          <a:endParaRPr lang="en-US" sz="1400" b="1">
            <a:latin typeface="Calibri" panose="020F0502020204030204" pitchFamily="34" charset="0"/>
            <a:cs typeface="Calibri" panose="020F0502020204030204" pitchFamily="34" charset="0"/>
          </a:endParaRPr>
        </a:p>
      </xdr:txBody>
    </xdr:sp>
    <xdr:clientData/>
  </xdr:twoCellAnchor>
  <xdr:twoCellAnchor>
    <xdr:from>
      <xdr:col>12</xdr:col>
      <xdr:colOff>228600</xdr:colOff>
      <xdr:row>9</xdr:row>
      <xdr:rowOff>104775</xdr:rowOff>
    </xdr:from>
    <xdr:to>
      <xdr:col>18</xdr:col>
      <xdr:colOff>266700</xdr:colOff>
      <xdr:row>24</xdr:row>
      <xdr:rowOff>161925</xdr:rowOff>
    </xdr:to>
    <xdr:sp macro="" textlink="">
      <xdr:nvSpPr>
        <xdr:cNvPr id="39" name="Rectangle: Rounded Corners 38">
          <a:extLst>
            <a:ext uri="{FF2B5EF4-FFF2-40B4-BE49-F238E27FC236}">
              <a16:creationId xmlns:a16="http://schemas.microsoft.com/office/drawing/2014/main" id="{DC50E2D9-F867-CB5C-D4CB-57298368EAA3}"/>
            </a:ext>
          </a:extLst>
        </xdr:cNvPr>
        <xdr:cNvSpPr/>
      </xdr:nvSpPr>
      <xdr:spPr>
        <a:xfrm>
          <a:off x="7543800" y="1819275"/>
          <a:ext cx="3695700" cy="2914650"/>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371475</xdr:colOff>
      <xdr:row>9</xdr:row>
      <xdr:rowOff>123825</xdr:rowOff>
    </xdr:from>
    <xdr:to>
      <xdr:col>24</xdr:col>
      <xdr:colOff>257175</xdr:colOff>
      <xdr:row>25</xdr:row>
      <xdr:rowOff>9525</xdr:rowOff>
    </xdr:to>
    <xdr:sp macro="" textlink="">
      <xdr:nvSpPr>
        <xdr:cNvPr id="40" name="Rectangle: Rounded Corners 39">
          <a:extLst>
            <a:ext uri="{FF2B5EF4-FFF2-40B4-BE49-F238E27FC236}">
              <a16:creationId xmlns:a16="http://schemas.microsoft.com/office/drawing/2014/main" id="{4558F403-E5E9-0F83-6B98-B4CF53884641}"/>
            </a:ext>
          </a:extLst>
        </xdr:cNvPr>
        <xdr:cNvSpPr/>
      </xdr:nvSpPr>
      <xdr:spPr>
        <a:xfrm>
          <a:off x="11344275" y="1838325"/>
          <a:ext cx="3543300" cy="2933700"/>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238125</xdr:colOff>
      <xdr:row>11</xdr:row>
      <xdr:rowOff>0</xdr:rowOff>
    </xdr:from>
    <xdr:to>
      <xdr:col>18</xdr:col>
      <xdr:colOff>400050</xdr:colOff>
      <xdr:row>23</xdr:row>
      <xdr:rowOff>161925</xdr:rowOff>
    </xdr:to>
    <xdr:graphicFrame macro="">
      <xdr:nvGraphicFramePr>
        <xdr:cNvPr id="42" name="Chart 41">
          <a:extLst>
            <a:ext uri="{FF2B5EF4-FFF2-40B4-BE49-F238E27FC236}">
              <a16:creationId xmlns:a16="http://schemas.microsoft.com/office/drawing/2014/main" id="{F7091C6C-F738-40D2-AAF1-DE50479C3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323850</xdr:colOff>
      <xdr:row>8</xdr:row>
      <xdr:rowOff>114299</xdr:rowOff>
    </xdr:from>
    <xdr:to>
      <xdr:col>18</xdr:col>
      <xdr:colOff>104775</xdr:colOff>
      <xdr:row>10</xdr:row>
      <xdr:rowOff>114300</xdr:rowOff>
    </xdr:to>
    <xdr:sp macro="" textlink="">
      <xdr:nvSpPr>
        <xdr:cNvPr id="43" name="Rectangle: Rounded Corners 42">
          <a:extLst>
            <a:ext uri="{FF2B5EF4-FFF2-40B4-BE49-F238E27FC236}">
              <a16:creationId xmlns:a16="http://schemas.microsoft.com/office/drawing/2014/main" id="{04FE31DB-6B2E-FC9E-8047-276B5E38A058}"/>
            </a:ext>
          </a:extLst>
        </xdr:cNvPr>
        <xdr:cNvSpPr/>
      </xdr:nvSpPr>
      <xdr:spPr>
        <a:xfrm>
          <a:off x="7639050" y="1638299"/>
          <a:ext cx="3438525" cy="381001"/>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342899</xdr:colOff>
      <xdr:row>8</xdr:row>
      <xdr:rowOff>133350</xdr:rowOff>
    </xdr:from>
    <xdr:to>
      <xdr:col>18</xdr:col>
      <xdr:colOff>219075</xdr:colOff>
      <xdr:row>10</xdr:row>
      <xdr:rowOff>85725</xdr:rowOff>
    </xdr:to>
    <xdr:sp macro="" textlink="">
      <xdr:nvSpPr>
        <xdr:cNvPr id="44" name="TextBox 43">
          <a:extLst>
            <a:ext uri="{FF2B5EF4-FFF2-40B4-BE49-F238E27FC236}">
              <a16:creationId xmlns:a16="http://schemas.microsoft.com/office/drawing/2014/main" id="{6E246A65-0A45-946C-E567-0385B4642F16}"/>
            </a:ext>
          </a:extLst>
        </xdr:cNvPr>
        <xdr:cNvSpPr txBox="1"/>
      </xdr:nvSpPr>
      <xdr:spPr>
        <a:xfrm>
          <a:off x="7658099" y="1657350"/>
          <a:ext cx="35337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Top</a:t>
          </a:r>
          <a:r>
            <a:rPr lang="en-US" sz="1400" b="1" baseline="0">
              <a:latin typeface="Calibri" panose="020F0502020204030204" pitchFamily="34" charset="0"/>
              <a:cs typeface="Calibri" panose="020F0502020204030204" pitchFamily="34" charset="0"/>
            </a:rPr>
            <a:t> 5 Equipment By High maintenence Cost</a:t>
          </a:r>
          <a:endParaRPr lang="en-US" sz="1400" b="1">
            <a:latin typeface="Calibri" panose="020F0502020204030204" pitchFamily="34" charset="0"/>
            <a:cs typeface="Calibri" panose="020F0502020204030204" pitchFamily="34" charset="0"/>
          </a:endParaRPr>
        </a:p>
      </xdr:txBody>
    </xdr:sp>
    <xdr:clientData/>
  </xdr:twoCellAnchor>
  <xdr:twoCellAnchor>
    <xdr:from>
      <xdr:col>18</xdr:col>
      <xdr:colOff>323850</xdr:colOff>
      <xdr:row>10</xdr:row>
      <xdr:rowOff>66674</xdr:rowOff>
    </xdr:from>
    <xdr:to>
      <xdr:col>25</xdr:col>
      <xdr:colOff>180975</xdr:colOff>
      <xdr:row>24</xdr:row>
      <xdr:rowOff>152399</xdr:rowOff>
    </xdr:to>
    <xdr:graphicFrame macro="">
      <xdr:nvGraphicFramePr>
        <xdr:cNvPr id="45" name="Chart 44">
          <a:extLst>
            <a:ext uri="{FF2B5EF4-FFF2-40B4-BE49-F238E27FC236}">
              <a16:creationId xmlns:a16="http://schemas.microsoft.com/office/drawing/2014/main" id="{0BB6E2FA-8CD5-4C45-AD38-8495B96EE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447675</xdr:colOff>
      <xdr:row>8</xdr:row>
      <xdr:rowOff>104775</xdr:rowOff>
    </xdr:from>
    <xdr:to>
      <xdr:col>24</xdr:col>
      <xdr:colOff>190500</xdr:colOff>
      <xdr:row>10</xdr:row>
      <xdr:rowOff>38100</xdr:rowOff>
    </xdr:to>
    <xdr:sp macro="" textlink="">
      <xdr:nvSpPr>
        <xdr:cNvPr id="46" name="Rectangle: Rounded Corners 45">
          <a:extLst>
            <a:ext uri="{FF2B5EF4-FFF2-40B4-BE49-F238E27FC236}">
              <a16:creationId xmlns:a16="http://schemas.microsoft.com/office/drawing/2014/main" id="{800B75F1-37E2-4A70-3D69-18E17C816F05}"/>
            </a:ext>
          </a:extLst>
        </xdr:cNvPr>
        <xdr:cNvSpPr/>
      </xdr:nvSpPr>
      <xdr:spPr>
        <a:xfrm>
          <a:off x="11420475" y="1628775"/>
          <a:ext cx="3400425" cy="314325"/>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400049</xdr:colOff>
      <xdr:row>8</xdr:row>
      <xdr:rowOff>142875</xdr:rowOff>
    </xdr:from>
    <xdr:to>
      <xdr:col>24</xdr:col>
      <xdr:colOff>276225</xdr:colOff>
      <xdr:row>10</xdr:row>
      <xdr:rowOff>95250</xdr:rowOff>
    </xdr:to>
    <xdr:sp macro="" textlink="">
      <xdr:nvSpPr>
        <xdr:cNvPr id="47" name="TextBox 46">
          <a:extLst>
            <a:ext uri="{FF2B5EF4-FFF2-40B4-BE49-F238E27FC236}">
              <a16:creationId xmlns:a16="http://schemas.microsoft.com/office/drawing/2014/main" id="{B66DA289-552C-4C35-407B-191AEEF26562}"/>
            </a:ext>
          </a:extLst>
        </xdr:cNvPr>
        <xdr:cNvSpPr txBox="1"/>
      </xdr:nvSpPr>
      <xdr:spPr>
        <a:xfrm>
          <a:off x="11372849" y="1666875"/>
          <a:ext cx="353377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Calibri" panose="020F0502020204030204" pitchFamily="34" charset="0"/>
              <a:cs typeface="Calibri" panose="020F0502020204030204" pitchFamily="34" charset="0"/>
            </a:rPr>
            <a:t>Least 5 Equipment By Low maintenence Cost</a:t>
          </a:r>
          <a:endParaRPr lang="en-US" sz="1400" b="1">
            <a:latin typeface="Calibri" panose="020F0502020204030204" pitchFamily="34" charset="0"/>
            <a:cs typeface="Calibri" panose="020F0502020204030204" pitchFamily="34" charset="0"/>
          </a:endParaRPr>
        </a:p>
      </xdr:txBody>
    </xdr:sp>
    <xdr:clientData/>
  </xdr:twoCellAnchor>
  <xdr:twoCellAnchor>
    <xdr:from>
      <xdr:col>14</xdr:col>
      <xdr:colOff>104776</xdr:colOff>
      <xdr:row>28</xdr:row>
      <xdr:rowOff>180974</xdr:rowOff>
    </xdr:from>
    <xdr:to>
      <xdr:col>17</xdr:col>
      <xdr:colOff>542925</xdr:colOff>
      <xdr:row>40</xdr:row>
      <xdr:rowOff>9523</xdr:rowOff>
    </xdr:to>
    <xdr:graphicFrame macro="">
      <xdr:nvGraphicFramePr>
        <xdr:cNvPr id="48" name="Chart 47">
          <a:extLst>
            <a:ext uri="{FF2B5EF4-FFF2-40B4-BE49-F238E27FC236}">
              <a16:creationId xmlns:a16="http://schemas.microsoft.com/office/drawing/2014/main" id="{BC4E1D05-4A88-401D-9382-FE244F589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66675</xdr:colOff>
      <xdr:row>26</xdr:row>
      <xdr:rowOff>19050</xdr:rowOff>
    </xdr:from>
    <xdr:to>
      <xdr:col>18</xdr:col>
      <xdr:colOff>581025</xdr:colOff>
      <xdr:row>39</xdr:row>
      <xdr:rowOff>171450</xdr:rowOff>
    </xdr:to>
    <xdr:sp macro="" textlink="">
      <xdr:nvSpPr>
        <xdr:cNvPr id="49" name="Rectangle: Rounded Corners 48">
          <a:extLst>
            <a:ext uri="{FF2B5EF4-FFF2-40B4-BE49-F238E27FC236}">
              <a16:creationId xmlns:a16="http://schemas.microsoft.com/office/drawing/2014/main" id="{1F9C1F98-9A99-B9E2-25D9-2CA4882F978C}"/>
            </a:ext>
          </a:extLst>
        </xdr:cNvPr>
        <xdr:cNvSpPr/>
      </xdr:nvSpPr>
      <xdr:spPr>
        <a:xfrm>
          <a:off x="7991475" y="4972050"/>
          <a:ext cx="3562350" cy="2628900"/>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257175</xdr:colOff>
      <xdr:row>29</xdr:row>
      <xdr:rowOff>38100</xdr:rowOff>
    </xdr:from>
    <xdr:to>
      <xdr:col>17</xdr:col>
      <xdr:colOff>276225</xdr:colOff>
      <xdr:row>30</xdr:row>
      <xdr:rowOff>133350</xdr:rowOff>
    </xdr:to>
    <xdr:cxnSp macro="">
      <xdr:nvCxnSpPr>
        <xdr:cNvPr id="51" name="Connector: Elbow 50">
          <a:extLst>
            <a:ext uri="{FF2B5EF4-FFF2-40B4-BE49-F238E27FC236}">
              <a16:creationId xmlns:a16="http://schemas.microsoft.com/office/drawing/2014/main" id="{887E7222-3FA0-1527-4DC3-4E7C53F6AA2F}"/>
            </a:ext>
          </a:extLst>
        </xdr:cNvPr>
        <xdr:cNvCxnSpPr/>
      </xdr:nvCxnSpPr>
      <xdr:spPr>
        <a:xfrm flipV="1">
          <a:off x="10010775" y="5562600"/>
          <a:ext cx="628650" cy="285750"/>
        </a:xfrm>
        <a:prstGeom prst="bentConnector3">
          <a:avLst/>
        </a:prstGeom>
        <a:ln w="28575">
          <a:solidFill>
            <a:srgbClr val="D7D7D7"/>
          </a:solidFill>
          <a:prstDash val="sysDot"/>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209551</xdr:colOff>
      <xdr:row>28</xdr:row>
      <xdr:rowOff>47626</xdr:rowOff>
    </xdr:from>
    <xdr:to>
      <xdr:col>18</xdr:col>
      <xdr:colOff>76201</xdr:colOff>
      <xdr:row>29</xdr:row>
      <xdr:rowOff>142876</xdr:rowOff>
    </xdr:to>
    <xdr:sp macro="" textlink="">
      <xdr:nvSpPr>
        <xdr:cNvPr id="53" name="TextBox 52">
          <a:extLst>
            <a:ext uri="{FF2B5EF4-FFF2-40B4-BE49-F238E27FC236}">
              <a16:creationId xmlns:a16="http://schemas.microsoft.com/office/drawing/2014/main" id="{B6638023-3EFB-46E3-7A57-4A947D0D825A}"/>
            </a:ext>
          </a:extLst>
        </xdr:cNvPr>
        <xdr:cNvSpPr txBox="1"/>
      </xdr:nvSpPr>
      <xdr:spPr>
        <a:xfrm>
          <a:off x="10572751" y="5381626"/>
          <a:ext cx="476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cs typeface="Calibri" panose="020F0502020204030204" pitchFamily="34" charset="0"/>
            </a:rPr>
            <a:t>New</a:t>
          </a:r>
        </a:p>
      </xdr:txBody>
    </xdr:sp>
    <xdr:clientData/>
  </xdr:twoCellAnchor>
  <xdr:twoCellAnchor>
    <xdr:from>
      <xdr:col>16</xdr:col>
      <xdr:colOff>561975</xdr:colOff>
      <xdr:row>29</xdr:row>
      <xdr:rowOff>28575</xdr:rowOff>
    </xdr:from>
    <xdr:to>
      <xdr:col>18</xdr:col>
      <xdr:colOff>400050</xdr:colOff>
      <xdr:row>30</xdr:row>
      <xdr:rowOff>85725</xdr:rowOff>
    </xdr:to>
    <xdr:sp macro="" textlink="">
      <xdr:nvSpPr>
        <xdr:cNvPr id="54" name="TextBox 53">
          <a:extLst>
            <a:ext uri="{FF2B5EF4-FFF2-40B4-BE49-F238E27FC236}">
              <a16:creationId xmlns:a16="http://schemas.microsoft.com/office/drawing/2014/main" id="{95E47C37-6700-B707-5C3D-72E2FC63D251}"/>
            </a:ext>
          </a:extLst>
        </xdr:cNvPr>
        <xdr:cNvSpPr txBox="1"/>
      </xdr:nvSpPr>
      <xdr:spPr>
        <a:xfrm>
          <a:off x="10315575" y="5553075"/>
          <a:ext cx="1057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dk1"/>
              </a:solidFill>
              <a:effectLst/>
              <a:latin typeface="Calibri" panose="020F0502020204030204" pitchFamily="34" charset="0"/>
              <a:ea typeface="+mn-ea"/>
              <a:cs typeface="Calibri" panose="020F0502020204030204" pitchFamily="34" charset="0"/>
            </a:rPr>
            <a:t> ₦   181,100.00 </a:t>
          </a:r>
          <a:endParaRPr lang="en-US" sz="1000" b="1">
            <a:latin typeface="Calibri" panose="020F0502020204030204" pitchFamily="34" charset="0"/>
            <a:cs typeface="Calibri" panose="020F0502020204030204" pitchFamily="34" charset="0"/>
          </a:endParaRPr>
        </a:p>
      </xdr:txBody>
    </xdr:sp>
    <xdr:clientData/>
  </xdr:twoCellAnchor>
  <xdr:twoCellAnchor>
    <xdr:from>
      <xdr:col>14</xdr:col>
      <xdr:colOff>485775</xdr:colOff>
      <xdr:row>29</xdr:row>
      <xdr:rowOff>76201</xdr:rowOff>
    </xdr:from>
    <xdr:to>
      <xdr:col>15</xdr:col>
      <xdr:colOff>333375</xdr:colOff>
      <xdr:row>30</xdr:row>
      <xdr:rowOff>123826</xdr:rowOff>
    </xdr:to>
    <xdr:cxnSp macro="">
      <xdr:nvCxnSpPr>
        <xdr:cNvPr id="56" name="Connector: Elbow 55">
          <a:extLst>
            <a:ext uri="{FF2B5EF4-FFF2-40B4-BE49-F238E27FC236}">
              <a16:creationId xmlns:a16="http://schemas.microsoft.com/office/drawing/2014/main" id="{267679BC-0DCA-DE06-C1C5-29F07FDCAD8E}"/>
            </a:ext>
          </a:extLst>
        </xdr:cNvPr>
        <xdr:cNvCxnSpPr/>
      </xdr:nvCxnSpPr>
      <xdr:spPr>
        <a:xfrm rot="10800000">
          <a:off x="9020175" y="5600701"/>
          <a:ext cx="457200" cy="238125"/>
        </a:xfrm>
        <a:prstGeom prst="bentConnector3">
          <a:avLst/>
        </a:prstGeom>
        <a:ln>
          <a:solidFill>
            <a:srgbClr val="1C2C5B"/>
          </a:solidFill>
          <a:prstDash val="sysDot"/>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257175</xdr:colOff>
      <xdr:row>28</xdr:row>
      <xdr:rowOff>104776</xdr:rowOff>
    </xdr:from>
    <xdr:to>
      <xdr:col>14</xdr:col>
      <xdr:colOff>561974</xdr:colOff>
      <xdr:row>30</xdr:row>
      <xdr:rowOff>9526</xdr:rowOff>
    </xdr:to>
    <xdr:sp macro="" textlink="">
      <xdr:nvSpPr>
        <xdr:cNvPr id="57" name="TextBox 56">
          <a:extLst>
            <a:ext uri="{FF2B5EF4-FFF2-40B4-BE49-F238E27FC236}">
              <a16:creationId xmlns:a16="http://schemas.microsoft.com/office/drawing/2014/main" id="{9F662CF1-2A0E-25CB-D79F-A86D66D8F8EB}"/>
            </a:ext>
          </a:extLst>
        </xdr:cNvPr>
        <xdr:cNvSpPr txBox="1"/>
      </xdr:nvSpPr>
      <xdr:spPr>
        <a:xfrm>
          <a:off x="8181975" y="5438776"/>
          <a:ext cx="9143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cs typeface="Calibri" panose="020F0502020204030204" pitchFamily="34" charset="0"/>
            </a:rPr>
            <a:t>Used</a:t>
          </a:r>
          <a:r>
            <a:rPr lang="en-US" sz="1100" b="1" baseline="0">
              <a:latin typeface="Calibri" panose="020F0502020204030204" pitchFamily="34" charset="0"/>
              <a:cs typeface="Calibri" panose="020F0502020204030204" pitchFamily="34" charset="0"/>
            </a:rPr>
            <a:t> - Good</a:t>
          </a:r>
          <a:endParaRPr lang="en-US" sz="1100" b="1">
            <a:latin typeface="Calibri" panose="020F0502020204030204" pitchFamily="34" charset="0"/>
            <a:cs typeface="Calibri" panose="020F0502020204030204" pitchFamily="34" charset="0"/>
          </a:endParaRPr>
        </a:p>
      </xdr:txBody>
    </xdr:sp>
    <xdr:clientData/>
  </xdr:twoCellAnchor>
  <xdr:twoCellAnchor>
    <xdr:from>
      <xdr:col>13</xdr:col>
      <xdr:colOff>228600</xdr:colOff>
      <xdr:row>29</xdr:row>
      <xdr:rowOff>38100</xdr:rowOff>
    </xdr:from>
    <xdr:to>
      <xdr:col>15</xdr:col>
      <xdr:colOff>66675</xdr:colOff>
      <xdr:row>30</xdr:row>
      <xdr:rowOff>95250</xdr:rowOff>
    </xdr:to>
    <xdr:sp macro="" textlink="">
      <xdr:nvSpPr>
        <xdr:cNvPr id="58" name="TextBox 57">
          <a:extLst>
            <a:ext uri="{FF2B5EF4-FFF2-40B4-BE49-F238E27FC236}">
              <a16:creationId xmlns:a16="http://schemas.microsoft.com/office/drawing/2014/main" id="{CEBFF84F-DD1B-97BE-E76E-E6C7D61FE65F}"/>
            </a:ext>
          </a:extLst>
        </xdr:cNvPr>
        <xdr:cNvSpPr txBox="1"/>
      </xdr:nvSpPr>
      <xdr:spPr>
        <a:xfrm>
          <a:off x="8153400" y="5562600"/>
          <a:ext cx="1057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dk1"/>
              </a:solidFill>
              <a:effectLst/>
              <a:latin typeface="Calibri" panose="020F0502020204030204" pitchFamily="34" charset="0"/>
              <a:ea typeface="+mn-ea"/>
              <a:cs typeface="Calibri" panose="020F0502020204030204" pitchFamily="34" charset="0"/>
            </a:rPr>
            <a:t> ₦   54,000.00 </a:t>
          </a:r>
          <a:endParaRPr lang="en-US" sz="1000" b="1">
            <a:latin typeface="Calibri" panose="020F0502020204030204" pitchFamily="34" charset="0"/>
            <a:cs typeface="Calibri" panose="020F0502020204030204" pitchFamily="34" charset="0"/>
          </a:endParaRPr>
        </a:p>
      </xdr:txBody>
    </xdr:sp>
    <xdr:clientData/>
  </xdr:twoCellAnchor>
  <xdr:twoCellAnchor>
    <xdr:from>
      <xdr:col>13</xdr:col>
      <xdr:colOff>542926</xdr:colOff>
      <xdr:row>31</xdr:row>
      <xdr:rowOff>152401</xdr:rowOff>
    </xdr:from>
    <xdr:to>
      <xdr:col>14</xdr:col>
      <xdr:colOff>400051</xdr:colOff>
      <xdr:row>33</xdr:row>
      <xdr:rowOff>47626</xdr:rowOff>
    </xdr:to>
    <xdr:cxnSp macro="">
      <xdr:nvCxnSpPr>
        <xdr:cNvPr id="60" name="Connector: Elbow 59">
          <a:extLst>
            <a:ext uri="{FF2B5EF4-FFF2-40B4-BE49-F238E27FC236}">
              <a16:creationId xmlns:a16="http://schemas.microsoft.com/office/drawing/2014/main" id="{B6992D1F-E268-BF40-3BC2-BD1C174C6A7D}"/>
            </a:ext>
          </a:extLst>
        </xdr:cNvPr>
        <xdr:cNvCxnSpPr/>
      </xdr:nvCxnSpPr>
      <xdr:spPr>
        <a:xfrm rot="10800000">
          <a:off x="8467726" y="6057901"/>
          <a:ext cx="466725" cy="276225"/>
        </a:xfrm>
        <a:prstGeom prst="bentConnector3">
          <a:avLst/>
        </a:prstGeom>
        <a:ln>
          <a:solidFill>
            <a:srgbClr val="FFC928"/>
          </a:solidFill>
          <a:prstDash val="sysDot"/>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0</xdr:colOff>
      <xdr:row>30</xdr:row>
      <xdr:rowOff>104776</xdr:rowOff>
    </xdr:from>
    <xdr:to>
      <xdr:col>14</xdr:col>
      <xdr:colOff>304799</xdr:colOff>
      <xdr:row>32</xdr:row>
      <xdr:rowOff>9526</xdr:rowOff>
    </xdr:to>
    <xdr:sp macro="" textlink="">
      <xdr:nvSpPr>
        <xdr:cNvPr id="61" name="TextBox 60">
          <a:extLst>
            <a:ext uri="{FF2B5EF4-FFF2-40B4-BE49-F238E27FC236}">
              <a16:creationId xmlns:a16="http://schemas.microsoft.com/office/drawing/2014/main" id="{4F932208-75F0-33A5-A67A-5F15C03C6F50}"/>
            </a:ext>
          </a:extLst>
        </xdr:cNvPr>
        <xdr:cNvSpPr txBox="1"/>
      </xdr:nvSpPr>
      <xdr:spPr>
        <a:xfrm>
          <a:off x="7924800" y="5819776"/>
          <a:ext cx="9143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cs typeface="Calibri" panose="020F0502020204030204" pitchFamily="34" charset="0"/>
            </a:rPr>
            <a:t>Used</a:t>
          </a:r>
          <a:r>
            <a:rPr lang="en-US" sz="1100" b="1" baseline="0">
              <a:latin typeface="Calibri" panose="020F0502020204030204" pitchFamily="34" charset="0"/>
              <a:cs typeface="Calibri" panose="020F0502020204030204" pitchFamily="34" charset="0"/>
            </a:rPr>
            <a:t> - Fair</a:t>
          </a:r>
          <a:endParaRPr lang="en-US" sz="1100" b="1">
            <a:latin typeface="Calibri" panose="020F0502020204030204" pitchFamily="34" charset="0"/>
            <a:cs typeface="Calibri" panose="020F0502020204030204" pitchFamily="34" charset="0"/>
          </a:endParaRPr>
        </a:p>
      </xdr:txBody>
    </xdr:sp>
    <xdr:clientData/>
  </xdr:twoCellAnchor>
  <xdr:twoCellAnchor>
    <xdr:from>
      <xdr:col>12</xdr:col>
      <xdr:colOff>571501</xdr:colOff>
      <xdr:row>31</xdr:row>
      <xdr:rowOff>95250</xdr:rowOff>
    </xdr:from>
    <xdr:to>
      <xdr:col>14</xdr:col>
      <xdr:colOff>266701</xdr:colOff>
      <xdr:row>32</xdr:row>
      <xdr:rowOff>152400</xdr:rowOff>
    </xdr:to>
    <xdr:sp macro="" textlink="">
      <xdr:nvSpPr>
        <xdr:cNvPr id="62" name="TextBox 61">
          <a:extLst>
            <a:ext uri="{FF2B5EF4-FFF2-40B4-BE49-F238E27FC236}">
              <a16:creationId xmlns:a16="http://schemas.microsoft.com/office/drawing/2014/main" id="{D0406251-11A6-FF83-F9F5-E42AF66B8311}"/>
            </a:ext>
          </a:extLst>
        </xdr:cNvPr>
        <xdr:cNvSpPr txBox="1"/>
      </xdr:nvSpPr>
      <xdr:spPr>
        <a:xfrm>
          <a:off x="7886701" y="6000750"/>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dk1"/>
              </a:solidFill>
              <a:effectLst/>
              <a:latin typeface="Calibri" panose="020F0502020204030204" pitchFamily="34" charset="0"/>
              <a:ea typeface="+mn-ea"/>
              <a:cs typeface="Calibri" panose="020F0502020204030204" pitchFamily="34" charset="0"/>
            </a:rPr>
            <a:t> ₦   3,800.00 </a:t>
          </a:r>
          <a:endParaRPr lang="en-US" sz="1000" b="1">
            <a:latin typeface="Calibri" panose="020F0502020204030204" pitchFamily="34" charset="0"/>
            <a:cs typeface="Calibri" panose="020F0502020204030204" pitchFamily="34" charset="0"/>
          </a:endParaRPr>
        </a:p>
      </xdr:txBody>
    </xdr:sp>
    <xdr:clientData/>
  </xdr:twoCellAnchor>
  <xdr:twoCellAnchor>
    <xdr:from>
      <xdr:col>14</xdr:col>
      <xdr:colOff>85726</xdr:colOff>
      <xdr:row>35</xdr:row>
      <xdr:rowOff>190499</xdr:rowOff>
    </xdr:from>
    <xdr:to>
      <xdr:col>14</xdr:col>
      <xdr:colOff>514351</xdr:colOff>
      <xdr:row>37</xdr:row>
      <xdr:rowOff>104774</xdr:rowOff>
    </xdr:to>
    <xdr:cxnSp macro="">
      <xdr:nvCxnSpPr>
        <xdr:cNvPr id="64" name="Connector: Elbow 63">
          <a:extLst>
            <a:ext uri="{FF2B5EF4-FFF2-40B4-BE49-F238E27FC236}">
              <a16:creationId xmlns:a16="http://schemas.microsoft.com/office/drawing/2014/main" id="{B1ADE7CB-D467-70FA-07C8-275CB86E157B}"/>
            </a:ext>
          </a:extLst>
        </xdr:cNvPr>
        <xdr:cNvCxnSpPr/>
      </xdr:nvCxnSpPr>
      <xdr:spPr>
        <a:xfrm rot="10800000" flipV="1">
          <a:off x="8620126" y="6857999"/>
          <a:ext cx="428625" cy="295275"/>
        </a:xfrm>
        <a:prstGeom prst="bentConnector3">
          <a:avLst/>
        </a:prstGeom>
        <a:ln>
          <a:solidFill>
            <a:srgbClr val="C00000"/>
          </a:solidFill>
          <a:prstDash val="sysDot"/>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9525</xdr:colOff>
      <xdr:row>36</xdr:row>
      <xdr:rowOff>76201</xdr:rowOff>
    </xdr:from>
    <xdr:to>
      <xdr:col>14</xdr:col>
      <xdr:colOff>314324</xdr:colOff>
      <xdr:row>37</xdr:row>
      <xdr:rowOff>171451</xdr:rowOff>
    </xdr:to>
    <xdr:sp macro="" textlink="">
      <xdr:nvSpPr>
        <xdr:cNvPr id="65" name="TextBox 64">
          <a:extLst>
            <a:ext uri="{FF2B5EF4-FFF2-40B4-BE49-F238E27FC236}">
              <a16:creationId xmlns:a16="http://schemas.microsoft.com/office/drawing/2014/main" id="{231ABD29-6284-EFF9-402C-4A86163BB824}"/>
            </a:ext>
          </a:extLst>
        </xdr:cNvPr>
        <xdr:cNvSpPr txBox="1"/>
      </xdr:nvSpPr>
      <xdr:spPr>
        <a:xfrm>
          <a:off x="7934325" y="6934201"/>
          <a:ext cx="914399"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Calibri" panose="020F0502020204030204" pitchFamily="34" charset="0"/>
              <a:cs typeface="Calibri" panose="020F0502020204030204" pitchFamily="34" charset="0"/>
            </a:rPr>
            <a:t>Refurbished</a:t>
          </a:r>
        </a:p>
      </xdr:txBody>
    </xdr:sp>
    <xdr:clientData/>
  </xdr:twoCellAnchor>
  <xdr:twoCellAnchor>
    <xdr:from>
      <xdr:col>12</xdr:col>
      <xdr:colOff>590550</xdr:colOff>
      <xdr:row>37</xdr:row>
      <xdr:rowOff>57150</xdr:rowOff>
    </xdr:from>
    <xdr:to>
      <xdr:col>14</xdr:col>
      <xdr:colOff>428625</xdr:colOff>
      <xdr:row>38</xdr:row>
      <xdr:rowOff>114300</xdr:rowOff>
    </xdr:to>
    <xdr:sp macro="" textlink="">
      <xdr:nvSpPr>
        <xdr:cNvPr id="66" name="TextBox 65">
          <a:extLst>
            <a:ext uri="{FF2B5EF4-FFF2-40B4-BE49-F238E27FC236}">
              <a16:creationId xmlns:a16="http://schemas.microsoft.com/office/drawing/2014/main" id="{3DBEDFCA-88A5-73F3-85A2-1730045E5D94}"/>
            </a:ext>
          </a:extLst>
        </xdr:cNvPr>
        <xdr:cNvSpPr txBox="1"/>
      </xdr:nvSpPr>
      <xdr:spPr>
        <a:xfrm>
          <a:off x="7905750" y="7105650"/>
          <a:ext cx="1057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chemeClr val="dk1"/>
              </a:solidFill>
              <a:effectLst/>
              <a:latin typeface="Calibri" panose="020F0502020204030204" pitchFamily="34" charset="0"/>
              <a:ea typeface="+mn-ea"/>
              <a:cs typeface="Calibri" panose="020F0502020204030204" pitchFamily="34" charset="0"/>
            </a:rPr>
            <a:t> ₦   36,400.00 </a:t>
          </a:r>
          <a:endParaRPr lang="en-US" sz="1000" b="1">
            <a:latin typeface="Calibri" panose="020F0502020204030204" pitchFamily="34" charset="0"/>
            <a:cs typeface="Calibri" panose="020F0502020204030204" pitchFamily="34" charset="0"/>
          </a:endParaRPr>
        </a:p>
      </xdr:txBody>
    </xdr:sp>
    <xdr:clientData/>
  </xdr:twoCellAnchor>
  <xdr:twoCellAnchor>
    <xdr:from>
      <xdr:col>13</xdr:col>
      <xdr:colOff>200025</xdr:colOff>
      <xdr:row>25</xdr:row>
      <xdr:rowOff>19050</xdr:rowOff>
    </xdr:from>
    <xdr:to>
      <xdr:col>18</xdr:col>
      <xdr:colOff>352425</xdr:colOff>
      <xdr:row>27</xdr:row>
      <xdr:rowOff>66676</xdr:rowOff>
    </xdr:to>
    <xdr:sp macro="" textlink="">
      <xdr:nvSpPr>
        <xdr:cNvPr id="68" name="Rectangle: Rounded Corners 67">
          <a:extLst>
            <a:ext uri="{FF2B5EF4-FFF2-40B4-BE49-F238E27FC236}">
              <a16:creationId xmlns:a16="http://schemas.microsoft.com/office/drawing/2014/main" id="{97A9C26A-AC3A-11DE-C053-AD792CB5DD4F}"/>
            </a:ext>
          </a:extLst>
        </xdr:cNvPr>
        <xdr:cNvSpPr/>
      </xdr:nvSpPr>
      <xdr:spPr>
        <a:xfrm>
          <a:off x="8124825" y="4781550"/>
          <a:ext cx="3200400" cy="428626"/>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161925</xdr:colOff>
      <xdr:row>25</xdr:row>
      <xdr:rowOff>47625</xdr:rowOff>
    </xdr:from>
    <xdr:to>
      <xdr:col>18</xdr:col>
      <xdr:colOff>371475</xdr:colOff>
      <xdr:row>27</xdr:row>
      <xdr:rowOff>0</xdr:rowOff>
    </xdr:to>
    <xdr:sp macro="" textlink="">
      <xdr:nvSpPr>
        <xdr:cNvPr id="67" name="TextBox 66">
          <a:extLst>
            <a:ext uri="{FF2B5EF4-FFF2-40B4-BE49-F238E27FC236}">
              <a16:creationId xmlns:a16="http://schemas.microsoft.com/office/drawing/2014/main" id="{D7DD2002-8565-0D08-4319-D581CEC7162B}"/>
            </a:ext>
          </a:extLst>
        </xdr:cNvPr>
        <xdr:cNvSpPr txBox="1"/>
      </xdr:nvSpPr>
      <xdr:spPr>
        <a:xfrm>
          <a:off x="8086725" y="4810125"/>
          <a:ext cx="32575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Equipment</a:t>
          </a:r>
          <a:r>
            <a:rPr lang="en-US" sz="1400" b="1" baseline="0">
              <a:latin typeface="Calibri" panose="020F0502020204030204" pitchFamily="34" charset="0"/>
              <a:cs typeface="Calibri" panose="020F0502020204030204" pitchFamily="34" charset="0"/>
            </a:rPr>
            <a:t> Condition By installation Cost</a:t>
          </a:r>
          <a:endParaRPr lang="en-US" sz="1400" b="1">
            <a:latin typeface="Calibri" panose="020F0502020204030204" pitchFamily="34" charset="0"/>
            <a:cs typeface="Calibri" panose="020F0502020204030204" pitchFamily="34" charset="0"/>
          </a:endParaRPr>
        </a:p>
      </xdr:txBody>
    </xdr:sp>
    <xdr:clientData/>
  </xdr:twoCellAnchor>
  <xdr:twoCellAnchor>
    <xdr:from>
      <xdr:col>18</xdr:col>
      <xdr:colOff>533402</xdr:colOff>
      <xdr:row>28</xdr:row>
      <xdr:rowOff>133350</xdr:rowOff>
    </xdr:from>
    <xdr:to>
      <xdr:col>24</xdr:col>
      <xdr:colOff>333376</xdr:colOff>
      <xdr:row>39</xdr:row>
      <xdr:rowOff>85724</xdr:rowOff>
    </xdr:to>
    <xdr:graphicFrame macro="">
      <xdr:nvGraphicFramePr>
        <xdr:cNvPr id="69" name="Chart 68">
          <a:extLst>
            <a:ext uri="{FF2B5EF4-FFF2-40B4-BE49-F238E27FC236}">
              <a16:creationId xmlns:a16="http://schemas.microsoft.com/office/drawing/2014/main" id="{5BFA1706-1F0A-412E-8F5A-11AB53C00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38100</xdr:colOff>
      <xdr:row>26</xdr:row>
      <xdr:rowOff>9525</xdr:rowOff>
    </xdr:from>
    <xdr:to>
      <xdr:col>24</xdr:col>
      <xdr:colOff>333375</xdr:colOff>
      <xdr:row>39</xdr:row>
      <xdr:rowOff>142875</xdr:rowOff>
    </xdr:to>
    <xdr:sp macro="" textlink="">
      <xdr:nvSpPr>
        <xdr:cNvPr id="70" name="Rectangle: Rounded Corners 69">
          <a:extLst>
            <a:ext uri="{FF2B5EF4-FFF2-40B4-BE49-F238E27FC236}">
              <a16:creationId xmlns:a16="http://schemas.microsoft.com/office/drawing/2014/main" id="{256FBDF8-582A-BB8F-EDA0-A5680FE4456C}"/>
            </a:ext>
          </a:extLst>
        </xdr:cNvPr>
        <xdr:cNvSpPr/>
      </xdr:nvSpPr>
      <xdr:spPr>
        <a:xfrm>
          <a:off x="11620500" y="4962525"/>
          <a:ext cx="3343275" cy="2609850"/>
        </a:xfrm>
        <a:prstGeom prst="roundRect">
          <a:avLst>
            <a:gd name="adj" fmla="val 4856"/>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180974</xdr:colOff>
      <xdr:row>25</xdr:row>
      <xdr:rowOff>66676</xdr:rowOff>
    </xdr:from>
    <xdr:to>
      <xdr:col>24</xdr:col>
      <xdr:colOff>152399</xdr:colOff>
      <xdr:row>27</xdr:row>
      <xdr:rowOff>104776</xdr:rowOff>
    </xdr:to>
    <xdr:sp macro="" textlink="">
      <xdr:nvSpPr>
        <xdr:cNvPr id="71" name="Rectangle: Rounded Corners 70">
          <a:extLst>
            <a:ext uri="{FF2B5EF4-FFF2-40B4-BE49-F238E27FC236}">
              <a16:creationId xmlns:a16="http://schemas.microsoft.com/office/drawing/2014/main" id="{7D494D19-B5D8-4FC0-A7F6-C3ACC351588A}"/>
            </a:ext>
          </a:extLst>
        </xdr:cNvPr>
        <xdr:cNvSpPr/>
      </xdr:nvSpPr>
      <xdr:spPr>
        <a:xfrm>
          <a:off x="11763374" y="4829176"/>
          <a:ext cx="3019425" cy="419100"/>
        </a:xfrm>
        <a:prstGeom prst="roundRect">
          <a:avLst>
            <a:gd name="adj" fmla="val 50000"/>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361950</xdr:colOff>
      <xdr:row>25</xdr:row>
      <xdr:rowOff>95250</xdr:rowOff>
    </xdr:from>
    <xdr:to>
      <xdr:col>24</xdr:col>
      <xdr:colOff>123825</xdr:colOff>
      <xdr:row>27</xdr:row>
      <xdr:rowOff>28575</xdr:rowOff>
    </xdr:to>
    <xdr:sp macro="" textlink="">
      <xdr:nvSpPr>
        <xdr:cNvPr id="72" name="TextBox 71">
          <a:extLst>
            <a:ext uri="{FF2B5EF4-FFF2-40B4-BE49-F238E27FC236}">
              <a16:creationId xmlns:a16="http://schemas.microsoft.com/office/drawing/2014/main" id="{D0CE96D7-368E-101D-A374-1943C6DD3E76}"/>
            </a:ext>
          </a:extLst>
        </xdr:cNvPr>
        <xdr:cNvSpPr txBox="1"/>
      </xdr:nvSpPr>
      <xdr:spPr>
        <a:xfrm>
          <a:off x="11944350" y="4857750"/>
          <a:ext cx="2809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cs typeface="Calibri" panose="020F0502020204030204" pitchFamily="34" charset="0"/>
            </a:rPr>
            <a:t>Quantity</a:t>
          </a:r>
          <a:r>
            <a:rPr lang="en-US" sz="1400" b="1" baseline="0">
              <a:latin typeface="Calibri" panose="020F0502020204030204" pitchFamily="34" charset="0"/>
              <a:cs typeface="Calibri" panose="020F0502020204030204" pitchFamily="34" charset="0"/>
            </a:rPr>
            <a:t> of Equipment By country</a:t>
          </a:r>
          <a:endParaRPr lang="en-US" sz="1400" b="1">
            <a:latin typeface="Calibri" panose="020F0502020204030204" pitchFamily="34" charset="0"/>
            <a:cs typeface="Calibri" panose="020F0502020204030204" pitchFamily="34" charset="0"/>
          </a:endParaRPr>
        </a:p>
      </xdr:txBody>
    </xdr:sp>
    <xdr:clientData/>
  </xdr:twoCellAnchor>
  <xdr:twoCellAnchor editAs="oneCell">
    <xdr:from>
      <xdr:col>24</xdr:col>
      <xdr:colOff>285750</xdr:colOff>
      <xdr:row>0</xdr:row>
      <xdr:rowOff>104775</xdr:rowOff>
    </xdr:from>
    <xdr:to>
      <xdr:col>29</xdr:col>
      <xdr:colOff>66675</xdr:colOff>
      <xdr:row>18</xdr:row>
      <xdr:rowOff>190499</xdr:rowOff>
    </xdr:to>
    <mc:AlternateContent xmlns:mc="http://schemas.openxmlformats.org/markup-compatibility/2006" xmlns:a14="http://schemas.microsoft.com/office/drawing/2010/main">
      <mc:Choice Requires="a14">
        <xdr:graphicFrame macro="">
          <xdr:nvGraphicFramePr>
            <xdr:cNvPr id="76" name="Department">
              <a:extLst>
                <a:ext uri="{FF2B5EF4-FFF2-40B4-BE49-F238E27FC236}">
                  <a16:creationId xmlns:a16="http://schemas.microsoft.com/office/drawing/2014/main" id="{6BB698E0-A8C8-4E9A-BA22-09C37F269F9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916150" y="104775"/>
              <a:ext cx="2828925" cy="3562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295275</xdr:colOff>
      <xdr:row>19</xdr:row>
      <xdr:rowOff>114300</xdr:rowOff>
    </xdr:from>
    <xdr:to>
      <xdr:col>29</xdr:col>
      <xdr:colOff>28575</xdr:colOff>
      <xdr:row>39</xdr:row>
      <xdr:rowOff>171451</xdr:rowOff>
    </xdr:to>
    <mc:AlternateContent xmlns:mc="http://schemas.openxmlformats.org/markup-compatibility/2006" xmlns:a14="http://schemas.microsoft.com/office/drawing/2010/main">
      <mc:Choice Requires="a14">
        <xdr:graphicFrame macro="">
          <xdr:nvGraphicFramePr>
            <xdr:cNvPr id="78" name="State">
              <a:extLst>
                <a:ext uri="{FF2B5EF4-FFF2-40B4-BE49-F238E27FC236}">
                  <a16:creationId xmlns:a16="http://schemas.microsoft.com/office/drawing/2014/main" id="{CBCEE57E-8037-416E-B540-81F9378EF0CD}"/>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925675" y="3733800"/>
              <a:ext cx="2781300" cy="3867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600076</xdr:colOff>
      <xdr:row>0</xdr:row>
      <xdr:rowOff>57150</xdr:rowOff>
    </xdr:from>
    <xdr:to>
      <xdr:col>22</xdr:col>
      <xdr:colOff>276226</xdr:colOff>
      <xdr:row>4</xdr:row>
      <xdr:rowOff>19050</xdr:rowOff>
    </xdr:to>
    <xdr:sp macro="" textlink="">
      <xdr:nvSpPr>
        <xdr:cNvPr id="79" name="TextBox 78">
          <a:extLst>
            <a:ext uri="{FF2B5EF4-FFF2-40B4-BE49-F238E27FC236}">
              <a16:creationId xmlns:a16="http://schemas.microsoft.com/office/drawing/2014/main" id="{81797395-FEB0-E826-AF82-ADD2513E6FC8}"/>
            </a:ext>
          </a:extLst>
        </xdr:cNvPr>
        <xdr:cNvSpPr txBox="1"/>
      </xdr:nvSpPr>
      <xdr:spPr>
        <a:xfrm>
          <a:off x="10353676" y="57150"/>
          <a:ext cx="333375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Calibri" panose="020F0502020204030204" pitchFamily="34" charset="0"/>
              <a:cs typeface="Calibri" panose="020F0502020204030204" pitchFamily="34" charset="0"/>
            </a:rPr>
            <a:t>Presented</a:t>
          </a:r>
          <a:r>
            <a:rPr lang="en-US" sz="1600" b="1" baseline="0">
              <a:latin typeface="Calibri" panose="020F0502020204030204" pitchFamily="34" charset="0"/>
              <a:cs typeface="Calibri" panose="020F0502020204030204" pitchFamily="34" charset="0"/>
            </a:rPr>
            <a:t> By</a:t>
          </a:r>
        </a:p>
        <a:p>
          <a:pPr algn="ctr"/>
          <a:r>
            <a:rPr lang="en-US" sz="1600" b="1" baseline="0">
              <a:latin typeface="Calibri" panose="020F0502020204030204" pitchFamily="34" charset="0"/>
              <a:cs typeface="Calibri" panose="020F0502020204030204" pitchFamily="34" charset="0"/>
            </a:rPr>
            <a:t> Egbeobauwaye Nagbons</a:t>
          </a:r>
          <a:endParaRPr lang="en-US" sz="1600" b="1">
            <a:latin typeface="Calibri" panose="020F0502020204030204" pitchFamily="34" charset="0"/>
            <a:cs typeface="Calibri" panose="020F0502020204030204" pitchFamily="34" charset="0"/>
          </a:endParaRPr>
        </a:p>
      </xdr:txBody>
    </xdr:sp>
    <xdr:clientData/>
  </xdr:twoCellAnchor>
  <xdr:twoCellAnchor>
    <xdr:from>
      <xdr:col>0</xdr:col>
      <xdr:colOff>95250</xdr:colOff>
      <xdr:row>27</xdr:row>
      <xdr:rowOff>0</xdr:rowOff>
    </xdr:from>
    <xdr:to>
      <xdr:col>6</xdr:col>
      <xdr:colOff>419100</xdr:colOff>
      <xdr:row>39</xdr:row>
      <xdr:rowOff>123825</xdr:rowOff>
    </xdr:to>
    <xdr:graphicFrame macro="">
      <xdr:nvGraphicFramePr>
        <xdr:cNvPr id="34" name="Chart 33">
          <a:extLst>
            <a:ext uri="{FF2B5EF4-FFF2-40B4-BE49-F238E27FC236}">
              <a16:creationId xmlns:a16="http://schemas.microsoft.com/office/drawing/2014/main" id="{774AF98A-7A02-4AEF-9FE9-49906A2D44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104775</xdr:rowOff>
    </xdr:from>
    <xdr:to>
      <xdr:col>14</xdr:col>
      <xdr:colOff>552450</xdr:colOff>
      <xdr:row>27</xdr:row>
      <xdr:rowOff>47625</xdr:rowOff>
    </xdr:to>
    <xdr:sp macro="" textlink="">
      <xdr:nvSpPr>
        <xdr:cNvPr id="2" name="TextBox 1">
          <a:extLst>
            <a:ext uri="{FF2B5EF4-FFF2-40B4-BE49-F238E27FC236}">
              <a16:creationId xmlns:a16="http://schemas.microsoft.com/office/drawing/2014/main" id="{53EAF001-6C84-501F-1EE6-32E72F41F294}"/>
            </a:ext>
          </a:extLst>
        </xdr:cNvPr>
        <xdr:cNvSpPr txBox="1"/>
      </xdr:nvSpPr>
      <xdr:spPr>
        <a:xfrm>
          <a:off x="114300" y="104775"/>
          <a:ext cx="8972550" cy="5086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Calibri" panose="020F0502020204030204" pitchFamily="34" charset="0"/>
              <a:cs typeface="Calibri" panose="020F0502020204030204" pitchFamily="34" charset="0"/>
            </a:rPr>
            <a:t>Insights</a:t>
          </a:r>
        </a:p>
        <a:p>
          <a:r>
            <a:rPr lang="en-US" sz="1400" b="1">
              <a:latin typeface="Calibri" panose="020F0502020204030204" pitchFamily="34" charset="0"/>
              <a:cs typeface="Calibri" panose="020F0502020204030204" pitchFamily="34" charset="0"/>
            </a:rPr>
            <a:t>High Procurement Volume</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A total of </a:t>
          </a:r>
          <a:r>
            <a:rPr lang="en-US" sz="1400" b="1">
              <a:latin typeface="Calibri" panose="020F0502020204030204" pitchFamily="34" charset="0"/>
              <a:cs typeface="Calibri" panose="020F0502020204030204" pitchFamily="34" charset="0"/>
            </a:rPr>
            <a:t>612 medical equipment</a:t>
          </a:r>
          <a:r>
            <a:rPr lang="en-US" sz="1400">
              <a:latin typeface="Calibri" panose="020F0502020204030204" pitchFamily="34" charset="0"/>
              <a:cs typeface="Calibri" panose="020F0502020204030204" pitchFamily="34" charset="0"/>
            </a:rPr>
            <a:t> have been procured, with a </a:t>
          </a:r>
          <a:r>
            <a:rPr lang="en-US" sz="1400" b="1">
              <a:latin typeface="Calibri" panose="020F0502020204030204" pitchFamily="34" charset="0"/>
              <a:cs typeface="Calibri" panose="020F0502020204030204" pitchFamily="34" charset="0"/>
            </a:rPr>
            <a:t>total procurement cost of ₦20.9 million</a:t>
          </a:r>
          <a:r>
            <a:rPr lang="en-US" sz="1400">
              <a:latin typeface="Calibri" panose="020F0502020204030204" pitchFamily="34" charset="0"/>
              <a:cs typeface="Calibri" panose="020F0502020204030204" pitchFamily="34" charset="0"/>
            </a:rPr>
            <a:t>.</a:t>
          </a:r>
        </a:p>
        <a:p>
          <a:pPr lvl="1"/>
          <a:r>
            <a:rPr lang="en-US" sz="1400">
              <a:latin typeface="Calibri" panose="020F0502020204030204" pitchFamily="34" charset="0"/>
              <a:cs typeface="Calibri" panose="020F0502020204030204" pitchFamily="34" charset="0"/>
            </a:rPr>
            <a:t>The </a:t>
          </a:r>
          <a:r>
            <a:rPr lang="en-US" sz="1400" b="1">
              <a:latin typeface="Calibri" panose="020F0502020204030204" pitchFamily="34" charset="0"/>
              <a:cs typeface="Calibri" panose="020F0502020204030204" pitchFamily="34" charset="0"/>
            </a:rPr>
            <a:t>average unit price</a:t>
          </a:r>
          <a:r>
            <a:rPr lang="en-US" sz="1400">
              <a:latin typeface="Calibri" panose="020F0502020204030204" pitchFamily="34" charset="0"/>
              <a:cs typeface="Calibri" panose="020F0502020204030204" pitchFamily="34" charset="0"/>
            </a:rPr>
            <a:t> stands at </a:t>
          </a:r>
          <a:r>
            <a:rPr lang="en-US" sz="1400" b="1">
              <a:latin typeface="Calibri" panose="020F0502020204030204" pitchFamily="34" charset="0"/>
              <a:cs typeface="Calibri" panose="020F0502020204030204" pitchFamily="34" charset="0"/>
            </a:rPr>
            <a:t>₦37,405</a:t>
          </a:r>
          <a:r>
            <a:rPr lang="en-US" sz="1400">
              <a:latin typeface="Calibri" panose="020F0502020204030204" pitchFamily="34" charset="0"/>
              <a:cs typeface="Calibri" panose="020F0502020204030204" pitchFamily="34" charset="0"/>
            </a:rPr>
            <a:t>, suggesting bulk procurement of mid-range equipment.</a:t>
          </a:r>
        </a:p>
        <a:p>
          <a:r>
            <a:rPr lang="en-US" sz="1400" b="1">
              <a:latin typeface="Calibri" panose="020F0502020204030204" pitchFamily="34" charset="0"/>
              <a:cs typeface="Calibri" panose="020F0502020204030204" pitchFamily="34" charset="0"/>
            </a:rPr>
            <a:t>Delivery Efficiency</a:t>
          </a:r>
          <a:endParaRPr lang="en-US" sz="1400">
            <a:latin typeface="Calibri" panose="020F0502020204030204" pitchFamily="34" charset="0"/>
            <a:cs typeface="Calibri" panose="020F0502020204030204" pitchFamily="34" charset="0"/>
          </a:endParaRPr>
        </a:p>
        <a:p>
          <a:pPr lvl="1"/>
          <a:r>
            <a:rPr lang="en-US" sz="1400" b="1">
              <a:latin typeface="Calibri" panose="020F0502020204030204" pitchFamily="34" charset="0"/>
              <a:cs typeface="Calibri" panose="020F0502020204030204" pitchFamily="34" charset="0"/>
            </a:rPr>
            <a:t>Average delivery time is 25 days</a:t>
          </a:r>
          <a:r>
            <a:rPr lang="en-US" sz="1400">
              <a:latin typeface="Calibri" panose="020F0502020204030204" pitchFamily="34" charset="0"/>
              <a:cs typeface="Calibri" panose="020F0502020204030204" pitchFamily="34" charset="0"/>
            </a:rPr>
            <a:t>, and all top 5 suppliers have the </a:t>
          </a:r>
          <a:r>
            <a:rPr lang="en-US" sz="1400" b="1">
              <a:latin typeface="Calibri" panose="020F0502020204030204" pitchFamily="34" charset="0"/>
              <a:cs typeface="Calibri" panose="020F0502020204030204" pitchFamily="34" charset="0"/>
            </a:rPr>
            <a:t>same average of 23 days</a:t>
          </a:r>
          <a:r>
            <a:rPr lang="en-US" sz="1400">
              <a:latin typeface="Calibri" panose="020F0502020204030204" pitchFamily="34" charset="0"/>
              <a:cs typeface="Calibri" panose="020F0502020204030204" pitchFamily="34" charset="0"/>
            </a:rPr>
            <a:t>, indicating a consistent supply chain.</a:t>
          </a:r>
        </a:p>
        <a:p>
          <a:r>
            <a:rPr lang="en-US" sz="1400" b="1">
              <a:latin typeface="Calibri" panose="020F0502020204030204" pitchFamily="34" charset="0"/>
              <a:cs typeface="Calibri" panose="020F0502020204030204" pitchFamily="34" charset="0"/>
            </a:rPr>
            <a:t>Top Contributing Countries</a:t>
          </a:r>
          <a:endParaRPr lang="en-US" sz="1400">
            <a:latin typeface="Calibri" panose="020F0502020204030204" pitchFamily="34" charset="0"/>
            <a:cs typeface="Calibri" panose="020F0502020204030204" pitchFamily="34" charset="0"/>
          </a:endParaRPr>
        </a:p>
        <a:p>
          <a:pPr lvl="1"/>
          <a:r>
            <a:rPr lang="en-US" sz="1400" b="1">
              <a:latin typeface="Calibri" panose="020F0502020204030204" pitchFamily="34" charset="0"/>
              <a:cs typeface="Calibri" panose="020F0502020204030204" pitchFamily="34" charset="0"/>
            </a:rPr>
            <a:t>Australia</a:t>
          </a:r>
          <a:r>
            <a:rPr lang="en-US" sz="1400">
              <a:latin typeface="Calibri" panose="020F0502020204030204" pitchFamily="34" charset="0"/>
              <a:cs typeface="Calibri" panose="020F0502020204030204" pitchFamily="34" charset="0"/>
            </a:rPr>
            <a:t> tops the list both in </a:t>
          </a:r>
          <a:r>
            <a:rPr lang="en-US" sz="1400" b="1">
              <a:latin typeface="Calibri" panose="020F0502020204030204" pitchFamily="34" charset="0"/>
              <a:cs typeface="Calibri" panose="020F0502020204030204" pitchFamily="34" charset="0"/>
            </a:rPr>
            <a:t>supplier count (62)</a:t>
          </a:r>
          <a:r>
            <a:rPr lang="en-US" sz="1400">
              <a:latin typeface="Calibri" panose="020F0502020204030204" pitchFamily="34" charset="0"/>
              <a:cs typeface="Calibri" panose="020F0502020204030204" pitchFamily="34" charset="0"/>
            </a:rPr>
            <a:t> and </a:t>
          </a:r>
          <a:r>
            <a:rPr lang="en-US" sz="1400" b="1">
              <a:latin typeface="Calibri" panose="020F0502020204030204" pitchFamily="34" charset="0"/>
              <a:cs typeface="Calibri" panose="020F0502020204030204" pitchFamily="34" charset="0"/>
            </a:rPr>
            <a:t>equipment quantity (163)</a:t>
          </a:r>
          <a:r>
            <a:rPr lang="en-US" sz="1400">
              <a:latin typeface="Calibri" panose="020F0502020204030204" pitchFamily="34" charset="0"/>
              <a:cs typeface="Calibri" panose="020F0502020204030204" pitchFamily="34" charset="0"/>
            </a:rPr>
            <a:t>. This points to a major dependency on Australian suppliers.</a:t>
          </a:r>
        </a:p>
        <a:p>
          <a:r>
            <a:rPr lang="en-US" sz="1400" b="1">
              <a:latin typeface="Calibri" panose="020F0502020204030204" pitchFamily="34" charset="0"/>
              <a:cs typeface="Calibri" panose="020F0502020204030204" pitchFamily="34" charset="0"/>
            </a:rPr>
            <a:t>Cost Drivers</a:t>
          </a:r>
          <a:endParaRPr lang="en-US" sz="1400">
            <a:latin typeface="Calibri" panose="020F0502020204030204" pitchFamily="34" charset="0"/>
            <a:cs typeface="Calibri" panose="020F0502020204030204" pitchFamily="34" charset="0"/>
          </a:endParaRPr>
        </a:p>
        <a:p>
          <a:pPr lvl="1"/>
          <a:r>
            <a:rPr lang="en-US" sz="1400" b="1">
              <a:latin typeface="Calibri" panose="020F0502020204030204" pitchFamily="34" charset="0"/>
              <a:cs typeface="Calibri" panose="020F0502020204030204" pitchFamily="34" charset="0"/>
            </a:rPr>
            <a:t>MRI machines</a:t>
          </a:r>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CT scanners</a:t>
          </a:r>
          <a:r>
            <a:rPr lang="en-US" sz="1400">
              <a:latin typeface="Calibri" panose="020F0502020204030204" pitchFamily="34" charset="0"/>
              <a:cs typeface="Calibri" panose="020F0502020204030204" pitchFamily="34" charset="0"/>
            </a:rPr>
            <a:t>, and </a:t>
          </a:r>
          <a:r>
            <a:rPr lang="en-US" sz="1400" b="1">
              <a:latin typeface="Calibri" panose="020F0502020204030204" pitchFamily="34" charset="0"/>
              <a:cs typeface="Calibri" panose="020F0502020204030204" pitchFamily="34" charset="0"/>
            </a:rPr>
            <a:t>Anesthesia machines</a:t>
          </a:r>
          <a:r>
            <a:rPr lang="en-US" sz="1400">
              <a:latin typeface="Calibri" panose="020F0502020204030204" pitchFamily="34" charset="0"/>
              <a:cs typeface="Calibri" panose="020F0502020204030204" pitchFamily="34" charset="0"/>
            </a:rPr>
            <a:t> are driving </a:t>
          </a:r>
          <a:r>
            <a:rPr lang="en-US" sz="1400" b="1">
              <a:latin typeface="Calibri" panose="020F0502020204030204" pitchFamily="34" charset="0"/>
              <a:cs typeface="Calibri" panose="020F0502020204030204" pitchFamily="34" charset="0"/>
            </a:rPr>
            <a:t>maintenance costs</a:t>
          </a:r>
          <a:r>
            <a:rPr lang="en-US" sz="1400">
              <a:latin typeface="Calibri" panose="020F0502020204030204" pitchFamily="34" charset="0"/>
              <a:cs typeface="Calibri" panose="020F0502020204030204" pitchFamily="34" charset="0"/>
            </a:rPr>
            <a:t>, with MRI alone costing </a:t>
          </a:r>
          <a:r>
            <a:rPr lang="en-US" sz="1400" b="1">
              <a:latin typeface="Calibri" panose="020F0502020204030204" pitchFamily="34" charset="0"/>
              <a:cs typeface="Calibri" panose="020F0502020204030204" pitchFamily="34" charset="0"/>
            </a:rPr>
            <a:t>₦57,000 per year</a:t>
          </a:r>
          <a:r>
            <a:rPr lang="en-US" sz="1400">
              <a:latin typeface="Calibri" panose="020F0502020204030204" pitchFamily="34" charset="0"/>
              <a:cs typeface="Calibri" panose="020F0502020204030204" pitchFamily="34" charset="0"/>
            </a:rPr>
            <a:t>.</a:t>
          </a:r>
        </a:p>
        <a:p>
          <a:pPr lvl="1"/>
          <a:r>
            <a:rPr lang="en-US" sz="1400" b="1">
              <a:latin typeface="Calibri" panose="020F0502020204030204" pitchFamily="34" charset="0"/>
              <a:cs typeface="Calibri" panose="020F0502020204030204" pitchFamily="34" charset="0"/>
            </a:rPr>
            <a:t>Osun and Ogun states</a:t>
          </a:r>
          <a:r>
            <a:rPr lang="en-US" sz="1400">
              <a:latin typeface="Calibri" panose="020F0502020204030204" pitchFamily="34" charset="0"/>
              <a:cs typeface="Calibri" panose="020F0502020204030204" pitchFamily="34" charset="0"/>
            </a:rPr>
            <a:t> are spending the most on installation – over </a:t>
          </a:r>
          <a:r>
            <a:rPr lang="en-US" sz="1400" b="1">
              <a:latin typeface="Calibri" panose="020F0502020204030204" pitchFamily="34" charset="0"/>
              <a:cs typeface="Calibri" panose="020F0502020204030204" pitchFamily="34" charset="0"/>
            </a:rPr>
            <a:t>₦22,000 and ₦26,000</a:t>
          </a:r>
          <a:r>
            <a:rPr lang="en-US" sz="1400">
              <a:latin typeface="Calibri" panose="020F0502020204030204" pitchFamily="34" charset="0"/>
              <a:cs typeface="Calibri" panose="020F0502020204030204" pitchFamily="34" charset="0"/>
            </a:rPr>
            <a:t>, respectively.</a:t>
          </a:r>
        </a:p>
        <a:p>
          <a:r>
            <a:rPr lang="en-US" sz="1400" b="1">
              <a:latin typeface="Calibri" panose="020F0502020204030204" pitchFamily="34" charset="0"/>
              <a:cs typeface="Calibri" panose="020F0502020204030204" pitchFamily="34" charset="0"/>
            </a:rPr>
            <a:t>Hospital Spending</a:t>
          </a:r>
          <a:endParaRPr lang="en-US" sz="1400">
            <a:latin typeface="Calibri" panose="020F0502020204030204" pitchFamily="34" charset="0"/>
            <a:cs typeface="Calibri" panose="020F0502020204030204" pitchFamily="34" charset="0"/>
          </a:endParaRPr>
        </a:p>
        <a:p>
          <a:pPr lvl="1"/>
          <a:r>
            <a:rPr lang="en-US" sz="1400" b="1">
              <a:latin typeface="Calibri" panose="020F0502020204030204" pitchFamily="34" charset="0"/>
              <a:cs typeface="Calibri" panose="020F0502020204030204" pitchFamily="34" charset="0"/>
            </a:rPr>
            <a:t>Minna Federal Medical Center</a:t>
          </a:r>
          <a:r>
            <a:rPr lang="en-US" sz="1400">
              <a:latin typeface="Calibri" panose="020F0502020204030204" pitchFamily="34" charset="0"/>
              <a:cs typeface="Calibri" panose="020F0502020204030204" pitchFamily="34" charset="0"/>
            </a:rPr>
            <a:t> is the top spender with </a:t>
          </a:r>
          <a:r>
            <a:rPr lang="en-US" sz="1400" b="1">
              <a:latin typeface="Calibri" panose="020F0502020204030204" pitchFamily="34" charset="0"/>
              <a:cs typeface="Calibri" panose="020F0502020204030204" pitchFamily="34" charset="0"/>
            </a:rPr>
            <a:t>₦1.8 million</a:t>
          </a:r>
          <a:r>
            <a:rPr lang="en-US" sz="1400">
              <a:latin typeface="Calibri" panose="020F0502020204030204" pitchFamily="34" charset="0"/>
              <a:cs typeface="Calibri" panose="020F0502020204030204" pitchFamily="34" charset="0"/>
            </a:rPr>
            <a:t> procurement cost.</a:t>
          </a:r>
        </a:p>
        <a:p>
          <a:pPr lvl="1"/>
          <a:r>
            <a:rPr lang="en-US" sz="1400">
              <a:latin typeface="Calibri" panose="020F0502020204030204" pitchFamily="34" charset="0"/>
              <a:cs typeface="Calibri" panose="020F0502020204030204" pitchFamily="34" charset="0"/>
            </a:rPr>
            <a:t>Other key spenders include Yenagoa, Dutse, and Benin City.</a:t>
          </a:r>
        </a:p>
        <a:p>
          <a:r>
            <a:rPr lang="en-US" sz="1400" b="1">
              <a:latin typeface="Calibri" panose="020F0502020204030204" pitchFamily="34" charset="0"/>
              <a:cs typeface="Calibri" panose="020F0502020204030204" pitchFamily="34" charset="0"/>
            </a:rPr>
            <a:t>Condition &amp; Installation Cost</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Most costly installations are for </a:t>
          </a:r>
          <a:r>
            <a:rPr lang="en-US" sz="1400" b="1">
              <a:latin typeface="Calibri" panose="020F0502020204030204" pitchFamily="34" charset="0"/>
              <a:cs typeface="Calibri" panose="020F0502020204030204" pitchFamily="34" charset="0"/>
            </a:rPr>
            <a:t>new equipment (₦181,100)</a:t>
          </a:r>
          <a:r>
            <a:rPr lang="en-US" sz="1400">
              <a:latin typeface="Calibri" panose="020F0502020204030204" pitchFamily="34" charset="0"/>
              <a:cs typeface="Calibri" panose="020F0502020204030204" pitchFamily="34" charset="0"/>
            </a:rPr>
            <a:t>, while </a:t>
          </a:r>
          <a:r>
            <a:rPr lang="en-US" sz="1400" b="1">
              <a:latin typeface="Calibri" panose="020F0502020204030204" pitchFamily="34" charset="0"/>
              <a:cs typeface="Calibri" panose="020F0502020204030204" pitchFamily="34" charset="0"/>
            </a:rPr>
            <a:t>used and refurbished items</a:t>
          </a:r>
          <a:r>
            <a:rPr lang="en-US" sz="1400">
              <a:latin typeface="Calibri" panose="020F0502020204030204" pitchFamily="34" charset="0"/>
              <a:cs typeface="Calibri" panose="020F0502020204030204" pitchFamily="34" charset="0"/>
            </a:rPr>
            <a:t> cost less but are still in use.</a:t>
          </a:r>
        </a:p>
        <a:p>
          <a:r>
            <a:rPr lang="en-US" sz="1400" b="1">
              <a:latin typeface="Calibri" panose="020F0502020204030204" pitchFamily="34" charset="0"/>
              <a:cs typeface="Calibri" panose="020F0502020204030204" pitchFamily="34" charset="0"/>
            </a:rPr>
            <a:t>Low-Maintenance Items</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Items like </a:t>
          </a:r>
          <a:r>
            <a:rPr lang="en-US" sz="1400" b="1">
              <a:latin typeface="Calibri" panose="020F0502020204030204" pitchFamily="34" charset="0"/>
              <a:cs typeface="Calibri" panose="020F0502020204030204" pitchFamily="34" charset="0"/>
            </a:rPr>
            <a:t>surgical tools and psychiatric beds</a:t>
          </a:r>
          <a:r>
            <a:rPr lang="en-US" sz="1400">
              <a:latin typeface="Calibri" panose="020F0502020204030204" pitchFamily="34" charset="0"/>
              <a:cs typeface="Calibri" panose="020F0502020204030204" pitchFamily="34" charset="0"/>
            </a:rPr>
            <a:t> have minimal maintenance costs (</a:t>
          </a:r>
          <a:r>
            <a:rPr lang="en-US" sz="1400" b="1">
              <a:latin typeface="Calibri" panose="020F0502020204030204" pitchFamily="34" charset="0"/>
              <a:cs typeface="Calibri" panose="020F0502020204030204" pitchFamily="34" charset="0"/>
            </a:rPr>
            <a:t>₦500–₦800</a:t>
          </a:r>
          <a:r>
            <a:rPr lang="en-US" sz="1400">
              <a:latin typeface="Calibri" panose="020F0502020204030204" pitchFamily="34" charset="0"/>
              <a:cs typeface="Calibri" panose="020F0502020204030204" pitchFamily="34" charset="0"/>
            </a:rPr>
            <a:t>), suggesting high ROI.</a:t>
          </a:r>
        </a:p>
        <a:p>
          <a:endParaRPr lang="en-US" sz="1100">
            <a:latin typeface="Calibri" panose="020F0502020204030204" pitchFamily="34" charset="0"/>
            <a:cs typeface="Calibri" panose="020F0502020204030204" pitchFamily="34" charset="0"/>
          </a:endParaRPr>
        </a:p>
      </xdr:txBody>
    </xdr:sp>
    <xdr:clientData/>
  </xdr:twoCellAnchor>
  <xdr:twoCellAnchor>
    <xdr:from>
      <xdr:col>15</xdr:col>
      <xdr:colOff>0</xdr:colOff>
      <xdr:row>0</xdr:row>
      <xdr:rowOff>114300</xdr:rowOff>
    </xdr:from>
    <xdr:to>
      <xdr:col>28</xdr:col>
      <xdr:colOff>571500</xdr:colOff>
      <xdr:row>27</xdr:row>
      <xdr:rowOff>57150</xdr:rowOff>
    </xdr:to>
    <xdr:sp macro="" textlink="">
      <xdr:nvSpPr>
        <xdr:cNvPr id="3" name="TextBox 2">
          <a:extLst>
            <a:ext uri="{FF2B5EF4-FFF2-40B4-BE49-F238E27FC236}">
              <a16:creationId xmlns:a16="http://schemas.microsoft.com/office/drawing/2014/main" id="{3F9754CE-8D1A-74FF-D809-61C526102EA4}"/>
            </a:ext>
          </a:extLst>
        </xdr:cNvPr>
        <xdr:cNvSpPr txBox="1"/>
      </xdr:nvSpPr>
      <xdr:spPr>
        <a:xfrm>
          <a:off x="9144000" y="114300"/>
          <a:ext cx="8496300" cy="5086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Recommendations</a:t>
          </a:r>
        </a:p>
        <a:p>
          <a:r>
            <a:rPr lang="en-US" sz="1400" b="1">
              <a:latin typeface="Calibri" panose="020F0502020204030204" pitchFamily="34" charset="0"/>
              <a:cs typeface="Calibri" panose="020F0502020204030204" pitchFamily="34" charset="0"/>
            </a:rPr>
            <a:t>Optimize Supplier Base</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Reduce over-reliance on countries like </a:t>
          </a:r>
          <a:r>
            <a:rPr lang="en-US" sz="1400" b="1">
              <a:latin typeface="Calibri" panose="020F0502020204030204" pitchFamily="34" charset="0"/>
              <a:cs typeface="Calibri" panose="020F0502020204030204" pitchFamily="34" charset="0"/>
            </a:rPr>
            <a:t>Australia</a:t>
          </a:r>
          <a:r>
            <a:rPr lang="en-US" sz="1400">
              <a:latin typeface="Calibri" panose="020F0502020204030204" pitchFamily="34" charset="0"/>
              <a:cs typeface="Calibri" panose="020F0502020204030204" pitchFamily="34" charset="0"/>
            </a:rPr>
            <a:t> by diversifying suppliers across </a:t>
          </a:r>
          <a:r>
            <a:rPr lang="en-US" sz="1400" b="1">
              <a:latin typeface="Calibri" panose="020F0502020204030204" pitchFamily="34" charset="0"/>
              <a:cs typeface="Calibri" panose="020F0502020204030204" pitchFamily="34" charset="0"/>
            </a:rPr>
            <a:t>Germany</a:t>
          </a:r>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France</a:t>
          </a:r>
          <a:r>
            <a:rPr lang="en-US" sz="1400">
              <a:latin typeface="Calibri" panose="020F0502020204030204" pitchFamily="34" charset="0"/>
              <a:cs typeface="Calibri" panose="020F0502020204030204" pitchFamily="34" charset="0"/>
            </a:rPr>
            <a:t>, or </a:t>
          </a:r>
          <a:r>
            <a:rPr lang="en-US" sz="1400" b="1">
              <a:latin typeface="Calibri" panose="020F0502020204030204" pitchFamily="34" charset="0"/>
              <a:cs typeface="Calibri" panose="020F0502020204030204" pitchFamily="34" charset="0"/>
            </a:rPr>
            <a:t>local alternatives</a:t>
          </a:r>
          <a:r>
            <a:rPr lang="en-US" sz="1400">
              <a:latin typeface="Calibri" panose="020F0502020204030204" pitchFamily="34" charset="0"/>
              <a:cs typeface="Calibri" panose="020F0502020204030204" pitchFamily="34" charset="0"/>
            </a:rPr>
            <a:t>.</a:t>
          </a:r>
        </a:p>
        <a:p>
          <a:r>
            <a:rPr lang="en-US" sz="1400" b="1">
              <a:latin typeface="Calibri" panose="020F0502020204030204" pitchFamily="34" charset="0"/>
              <a:cs typeface="Calibri" panose="020F0502020204030204" pitchFamily="34" charset="0"/>
            </a:rPr>
            <a:t>Focus on High-Maintenance Items</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Regularly review and negotiate </a:t>
          </a:r>
          <a:r>
            <a:rPr lang="en-US" sz="1400" b="1">
              <a:latin typeface="Calibri" panose="020F0502020204030204" pitchFamily="34" charset="0"/>
              <a:cs typeface="Calibri" panose="020F0502020204030204" pitchFamily="34" charset="0"/>
            </a:rPr>
            <a:t>service contracts</a:t>
          </a:r>
          <a:r>
            <a:rPr lang="en-US" sz="1400">
              <a:latin typeface="Calibri" panose="020F0502020204030204" pitchFamily="34" charset="0"/>
              <a:cs typeface="Calibri" panose="020F0502020204030204" pitchFamily="34" charset="0"/>
            </a:rPr>
            <a:t> for MRI and CT scanners to cut long-term costs.</a:t>
          </a:r>
        </a:p>
        <a:p>
          <a:r>
            <a:rPr lang="en-US" sz="1400" b="1">
              <a:latin typeface="Calibri" panose="020F0502020204030204" pitchFamily="34" charset="0"/>
              <a:cs typeface="Calibri" panose="020F0502020204030204" pitchFamily="34" charset="0"/>
            </a:rPr>
            <a:t>Improve Equipment Distribution</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Evaluate whether </a:t>
          </a:r>
          <a:r>
            <a:rPr lang="en-US" sz="1400" b="1">
              <a:latin typeface="Calibri" panose="020F0502020204030204" pitchFamily="34" charset="0"/>
              <a:cs typeface="Calibri" panose="020F0502020204030204" pitchFamily="34" charset="0"/>
            </a:rPr>
            <a:t>installation costs</a:t>
          </a:r>
          <a:r>
            <a:rPr lang="en-US" sz="1400">
              <a:latin typeface="Calibri" panose="020F0502020204030204" pitchFamily="34" charset="0"/>
              <a:cs typeface="Calibri" panose="020F0502020204030204" pitchFamily="34" charset="0"/>
            </a:rPr>
            <a:t> in states like </a:t>
          </a:r>
          <a:r>
            <a:rPr lang="en-US" sz="1400" b="1">
              <a:latin typeface="Calibri" panose="020F0502020204030204" pitchFamily="34" charset="0"/>
              <a:cs typeface="Calibri" panose="020F0502020204030204" pitchFamily="34" charset="0"/>
            </a:rPr>
            <a:t>Osun and Ogun</a:t>
          </a:r>
          <a:r>
            <a:rPr lang="en-US" sz="1400">
              <a:latin typeface="Calibri" panose="020F0502020204030204" pitchFamily="34" charset="0"/>
              <a:cs typeface="Calibri" panose="020F0502020204030204" pitchFamily="34" charset="0"/>
            </a:rPr>
            <a:t> are justified, or if logistics can be optimized.</a:t>
          </a:r>
        </a:p>
        <a:p>
          <a:r>
            <a:rPr lang="en-US" sz="1400" b="1">
              <a:latin typeface="Calibri" panose="020F0502020204030204" pitchFamily="34" charset="0"/>
              <a:cs typeface="Calibri" panose="020F0502020204030204" pitchFamily="34" charset="0"/>
            </a:rPr>
            <a:t>Prioritize Low-Maintenance Procurement</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Increase procurement of </a:t>
          </a:r>
          <a:r>
            <a:rPr lang="en-US" sz="1400" b="1">
              <a:latin typeface="Calibri" panose="020F0502020204030204" pitchFamily="34" charset="0"/>
              <a:cs typeface="Calibri" panose="020F0502020204030204" pitchFamily="34" charset="0"/>
            </a:rPr>
            <a:t>low-maintenance items</a:t>
          </a:r>
          <a:r>
            <a:rPr lang="en-US" sz="1400">
              <a:latin typeface="Calibri" panose="020F0502020204030204" pitchFamily="34" charset="0"/>
              <a:cs typeface="Calibri" panose="020F0502020204030204" pitchFamily="34" charset="0"/>
            </a:rPr>
            <a:t> where demand allows, reducing ongoing operational costs.</a:t>
          </a:r>
        </a:p>
        <a:p>
          <a:r>
            <a:rPr lang="en-US" sz="1400" b="1">
              <a:latin typeface="Calibri" panose="020F0502020204030204" pitchFamily="34" charset="0"/>
              <a:cs typeface="Calibri" panose="020F0502020204030204" pitchFamily="34" charset="0"/>
            </a:rPr>
            <a:t>Track Equipment Conditions</a:t>
          </a:r>
          <a:endParaRPr lang="en-US" sz="1400">
            <a:latin typeface="Calibri" panose="020F0502020204030204" pitchFamily="34" charset="0"/>
            <a:cs typeface="Calibri" panose="020F0502020204030204" pitchFamily="34" charset="0"/>
          </a:endParaRPr>
        </a:p>
        <a:p>
          <a:pPr lvl="1"/>
          <a:r>
            <a:rPr lang="en-US" sz="1400">
              <a:latin typeface="Calibri" panose="020F0502020204030204" pitchFamily="34" charset="0"/>
              <a:cs typeface="Calibri" panose="020F0502020204030204" pitchFamily="34" charset="0"/>
            </a:rPr>
            <a:t>Monitor the </a:t>
          </a:r>
          <a:r>
            <a:rPr lang="en-US" sz="1400" b="1">
              <a:latin typeface="Calibri" panose="020F0502020204030204" pitchFamily="34" charset="0"/>
              <a:cs typeface="Calibri" panose="020F0502020204030204" pitchFamily="34" charset="0"/>
            </a:rPr>
            <a:t>performance of refurbished and used items</a:t>
          </a:r>
          <a:r>
            <a:rPr lang="en-US" sz="1400">
              <a:latin typeface="Calibri" panose="020F0502020204030204" pitchFamily="34" charset="0"/>
              <a:cs typeface="Calibri" panose="020F0502020204030204" pitchFamily="34" charset="0"/>
            </a:rPr>
            <a:t> to avoid hidden costs in maintenance or breakdowns.</a:t>
          </a:r>
        </a:p>
        <a:p>
          <a:endParaRPr lang="en-US" sz="1100"/>
        </a:p>
      </xdr:txBody>
    </xdr:sp>
    <xdr:clientData/>
  </xdr:twoCellAnchor>
  <xdr:twoCellAnchor>
    <xdr:from>
      <xdr:col>6</xdr:col>
      <xdr:colOff>142875</xdr:colOff>
      <xdr:row>26</xdr:row>
      <xdr:rowOff>104775</xdr:rowOff>
    </xdr:from>
    <xdr:to>
      <xdr:col>21</xdr:col>
      <xdr:colOff>400050</xdr:colOff>
      <xdr:row>41</xdr:row>
      <xdr:rowOff>19050</xdr:rowOff>
    </xdr:to>
    <xdr:sp macro="" textlink="">
      <xdr:nvSpPr>
        <xdr:cNvPr id="4" name="TextBox 3">
          <a:extLst>
            <a:ext uri="{FF2B5EF4-FFF2-40B4-BE49-F238E27FC236}">
              <a16:creationId xmlns:a16="http://schemas.microsoft.com/office/drawing/2014/main" id="{D7B2FA78-5259-E488-3483-74312ED8B2FE}"/>
            </a:ext>
          </a:extLst>
        </xdr:cNvPr>
        <xdr:cNvSpPr txBox="1"/>
      </xdr:nvSpPr>
      <xdr:spPr>
        <a:xfrm>
          <a:off x="3800475" y="5057775"/>
          <a:ext cx="9401175" cy="2771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Calibri" panose="020F0502020204030204" pitchFamily="34" charset="0"/>
              <a:cs typeface="Calibri" panose="020F0502020204030204" pitchFamily="34" charset="0"/>
            </a:rPr>
            <a:t>Actionable Points</a:t>
          </a:r>
        </a:p>
        <a:p>
          <a:r>
            <a:rPr lang="en-US" sz="1400"/>
            <a:t>✅</a:t>
          </a:r>
          <a:r>
            <a:rPr lang="en-US"/>
            <a:t> </a:t>
          </a:r>
          <a:r>
            <a:rPr lang="en-US" sz="1400" b="1">
              <a:latin typeface="Calibri" panose="020F0502020204030204" pitchFamily="34" charset="0"/>
              <a:cs typeface="Calibri" panose="020F0502020204030204" pitchFamily="34" charset="0"/>
            </a:rPr>
            <a:t>Create a supplier diversification plan</a:t>
          </a:r>
          <a:r>
            <a:rPr lang="en-US" sz="1400">
              <a:latin typeface="Calibri" panose="020F0502020204030204" pitchFamily="34" charset="0"/>
              <a:cs typeface="Calibri" panose="020F0502020204030204" pitchFamily="34" charset="0"/>
            </a:rPr>
            <a:t> focusing on countries with lower average delivery times and competitive pricing.</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Conduct a cost-benefit analysis</a:t>
          </a:r>
          <a:r>
            <a:rPr lang="en-US" sz="1400">
              <a:latin typeface="Calibri" panose="020F0502020204030204" pitchFamily="34" charset="0"/>
              <a:cs typeface="Calibri" panose="020F0502020204030204" pitchFamily="34" charset="0"/>
            </a:rPr>
            <a:t> of high-maintenance equipment (MRI, CT, Anesthesia) before new purchases.</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Negotiate better maintenance contracts</a:t>
          </a:r>
          <a:r>
            <a:rPr lang="en-US" sz="1400">
              <a:latin typeface="Calibri" panose="020F0502020204030204" pitchFamily="34" charset="0"/>
              <a:cs typeface="Calibri" panose="020F0502020204030204" pitchFamily="34" charset="0"/>
            </a:rPr>
            <a:t> or bulk service agreements to reduce recurring costs.</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Audit installation spending</a:t>
          </a:r>
          <a:r>
            <a:rPr lang="en-US" sz="1400">
              <a:latin typeface="Calibri" panose="020F0502020204030204" pitchFamily="34" charset="0"/>
              <a:cs typeface="Calibri" panose="020F0502020204030204" pitchFamily="34" charset="0"/>
            </a:rPr>
            <a:t> in states with the highest costs to find potential inefficiencies or overspending.</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Develop a procurement mix strategy</a:t>
          </a:r>
          <a:r>
            <a:rPr lang="en-US" sz="1400">
              <a:latin typeface="Calibri" panose="020F0502020204030204" pitchFamily="34" charset="0"/>
              <a:cs typeface="Calibri" panose="020F0502020204030204" pitchFamily="34" charset="0"/>
            </a:rPr>
            <a:t> to balance new and refurbished equipment based on department needs.</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Leverage insights from top-performing hospitals</a:t>
          </a:r>
          <a:r>
            <a:rPr lang="en-US" sz="1400">
              <a:latin typeface="Calibri" panose="020F0502020204030204" pitchFamily="34" charset="0"/>
              <a:cs typeface="Calibri" panose="020F0502020204030204" pitchFamily="34" charset="0"/>
            </a:rPr>
            <a:t> (e.g., Minna FMC, Yenagoa) for procurement best practices.</a:t>
          </a:r>
        </a:p>
        <a:p>
          <a:r>
            <a:rPr lang="en-US" sz="1400">
              <a:latin typeface="Calibri" panose="020F0502020204030204" pitchFamily="34" charset="0"/>
              <a:cs typeface="Calibri" panose="020F0502020204030204" pitchFamily="34" charset="0"/>
            </a:rPr>
            <a:t>✅ </a:t>
          </a:r>
          <a:r>
            <a:rPr lang="en-US" sz="1400" b="1">
              <a:latin typeface="Calibri" panose="020F0502020204030204" pitchFamily="34" charset="0"/>
              <a:cs typeface="Calibri" panose="020F0502020204030204" pitchFamily="34" charset="0"/>
            </a:rPr>
            <a:t>Set thresholds for acceptable maintenance and installation costs</a:t>
          </a:r>
          <a:r>
            <a:rPr lang="en-US" sz="1400">
              <a:latin typeface="Calibri" panose="020F0502020204030204" pitchFamily="34" charset="0"/>
              <a:cs typeface="Calibri" panose="020F0502020204030204" pitchFamily="34" charset="0"/>
            </a:rPr>
            <a:t> and flag any procurement that exceeds them.</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44514583336" createdVersion="5" refreshedVersion="8" minRefreshableVersion="3" recordCount="0" supportSubquery="1" supportAdvancedDrill="1" xr:uid="{953E661B-03CE-4D0C-87E5-E0FE0FFC46D0}">
  <cacheSource type="external" connectionId="3"/>
  <cacheFields count="0"/>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0" memberValueDatatype="130" unbalanced="0"/>
    <cacheHierarchy uniqueName="[Procurement_Data].[Department]" caption="Department" attribute="1" defaultMemberUniqueName="[Procurement_Data].[Department].[All]" allUniqueName="[Procurement_Data].[Department].[All]" dimensionUniqueName="[Procurement_Data]" displayFolder="" count="0" memberValueDatatype="130" unbalanced="0"/>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1759262" backgroundQuery="1" createdVersion="8" refreshedVersion="8" minRefreshableVersion="3" recordCount="0" supportSubquery="1" supportAdvancedDrill="1" xr:uid="{1703AA27-8927-4C4D-9490-E4F6A217E1DF}">
  <cacheSource type="external" connectionId="3"/>
  <cacheFields count="3">
    <cacheField name="[Measures].[Total Installation Cost]" caption="Total Installation Cost" numFmtId="0" hierarchy="24" level="32767"/>
    <cacheField name="[Procurement_Data].[State].[State]" caption="State" numFmtId="0" hierarchy="7" level="1">
      <sharedItems count="10">
        <s v="Abuja"/>
        <s v="Bayelsa"/>
        <s v="Edo"/>
        <s v="Imo"/>
        <s v="Kaduna"/>
        <s v="Kogi"/>
        <s v="Nasarawa"/>
        <s v="Niger"/>
        <s v="Ogun"/>
        <s v="Osun"/>
      </sharedItems>
    </cacheField>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fieldsUsage count="2">
        <fieldUsage x="-1"/>
        <fieldUsage x="1"/>
      </fieldsUsage>
    </cacheHierarchy>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oneField="1">
      <fieldsUsage count="1">
        <fieldUsage x="0"/>
      </fieldsUsage>
    </cacheHierarchy>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2916663" backgroundQuery="1" createdVersion="8" refreshedVersion="8" minRefreshableVersion="3" recordCount="0" supportSubquery="1" supportAdvancedDrill="1" xr:uid="{1B72AF34-99C5-411E-BBB3-1BB1134567A0}">
  <cacheSource type="external" connectionId="3"/>
  <cacheFields count="2">
    <cacheField name="[Measures].[Total Equipment Procured]" caption="Total Equipment Procured" numFmtId="0" hierarchy="19"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oneField="1">
      <fieldsUsage count="1">
        <fieldUsage x="0"/>
      </fieldsUsage>
    </cacheHierarchy>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4421295" backgroundQuery="1" createdVersion="8" refreshedVersion="8" minRefreshableVersion="3" recordCount="0" supportSubquery="1" supportAdvancedDrill="1" xr:uid="{5699DEE4-C0FC-4F46-8EE2-9352CCBC2BA9}">
  <cacheSource type="external" connectionId="3"/>
  <cacheFields count="3">
    <cacheField name="[Procurement_Data].[Supplier].[Supplier]" caption="Supplier" numFmtId="0" hierarchy="12" level="1">
      <sharedItems count="5">
        <s v="DermiCare"/>
        <s v="ENT Solutions"/>
        <s v="EyeTech"/>
        <s v="MammoTech"/>
        <s v="RadiantTech"/>
      </sharedItems>
    </cacheField>
    <cacheField name="[Measures].[Average Delivery Time]" caption="Average Delivery Time" numFmtId="0" hierarchy="22"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2" memberValueDatatype="130" unbalanced="0">
      <fieldsUsage count="2">
        <fieldUsage x="-1"/>
        <fieldUsage x="0"/>
      </fieldsUsage>
    </cacheHierarchy>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oneField="1">
      <fieldsUsage count="1">
        <fieldUsage x="1"/>
      </fieldsUsage>
    </cacheHierarchy>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5694442" backgroundQuery="1" createdVersion="8" refreshedVersion="8" minRefreshableVersion="3" recordCount="0" supportSubquery="1" supportAdvancedDrill="1" xr:uid="{3BC49E2B-ACD7-46C5-AEEA-BD04C1CBB6DA}">
  <cacheSource type="external" connectionId="3"/>
  <cacheFields count="3">
    <cacheField name="[Procurement_Data].[Equipment].[Equipment]" caption="Equipment" numFmtId="0" hierarchy="9" level="1">
      <sharedItems count="5">
        <s v="Fetal Monitor"/>
        <s v="Psychiatric Bed"/>
        <s v="Psychiatric Ward"/>
        <s v="Rhinolaryngoscope"/>
        <s v="Surgical Tools"/>
      </sharedItems>
    </cacheField>
    <cacheField name="[Measures].[Total maintence cost per year]" caption="Total maintence cost per year" numFmtId="0" hierarchy="23"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2" memberValueDatatype="130" unbalanced="0">
      <fieldsUsage count="2">
        <fieldUsage x="-1"/>
        <fieldUsage x="0"/>
      </fieldsUsage>
    </cacheHierarchy>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oneField="1">
      <fieldsUsage count="1">
        <fieldUsage x="1"/>
      </fieldsUsage>
    </cacheHierarchy>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7314812" backgroundQuery="1" createdVersion="8" refreshedVersion="8" minRefreshableVersion="3" recordCount="0" supportSubquery="1" supportAdvancedDrill="1" xr:uid="{9A34068C-3639-4782-BE9E-D55DE5FC5962}">
  <cacheSource type="external" connectionId="3"/>
  <cacheFields count="4">
    <cacheField name="[Procurement_Data].[State].[State]" caption="State" numFmtId="0" hierarchy="7" level="1">
      <sharedItems count="10">
        <s v="Abuja"/>
        <s v="Bayelsa"/>
        <s v="Edo"/>
        <s v="Imo"/>
        <s v="Kaduna"/>
        <s v="Kogi"/>
        <s v="Nasarawa"/>
        <s v="Niger"/>
        <s v="Ogun"/>
        <s v="Osun"/>
      </sharedItems>
    </cacheField>
    <cacheField name="[Procurement_Data].[Supplier Country].[Supplier Country]" caption="Supplier Country" numFmtId="0" hierarchy="13" level="1">
      <sharedItems count="5">
        <s v="Australia"/>
        <s v="China"/>
        <s v="France"/>
        <s v="UAE"/>
        <s v="USA"/>
      </sharedItems>
    </cacheField>
    <cacheField name="[Measures].[Count of Supplier]" caption="Count of Supplier" numFmtId="0" hierarchy="30"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fieldsUsage count="2">
        <fieldUsage x="-1"/>
        <fieldUsage x="0"/>
      </fieldsUsage>
    </cacheHierarchy>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3"/>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2" memberValueDatatype="130" unbalanced="0">
      <fieldsUsage count="2">
        <fieldUsage x="-1"/>
        <fieldUsage x="1"/>
      </fieldsUsage>
    </cacheHierarchy>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8935182" backgroundQuery="1" createdVersion="8" refreshedVersion="8" minRefreshableVersion="3" recordCount="0" supportSubquery="1" supportAdvancedDrill="1" xr:uid="{C08B95AE-63B5-4B80-8E19-05EB194B80AF}">
  <cacheSource type="external" connectionId="3"/>
  <cacheFields count="4">
    <cacheField name="[Procurement_Data].[Supplier].[Supplier]" caption="Supplier" numFmtId="0" hierarchy="12" level="1">
      <sharedItems count="5">
        <s v="DermiCare"/>
        <s v="ENT Solutions"/>
        <s v="EyeTech"/>
        <s v="MammoTech"/>
        <s v="RadiantTech"/>
      </sharedItems>
    </cacheField>
    <cacheField name="[Measures].[Sum of Quantity]" caption="Sum of Quantity" numFmtId="0" hierarchy="28" level="32767"/>
    <cacheField name="[Procurement_Data].[Supplier Country].[Supplier Country]" caption="Supplier Country" numFmtId="0" hierarchy="13" level="1">
      <sharedItems count="5">
        <s v="Australia"/>
        <s v="France"/>
        <s v="Germany"/>
        <s v="UAE"/>
        <s v="USA"/>
      </sharedItems>
    </cacheField>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3"/>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2" memberValueDatatype="130" unbalanced="0">
      <fieldsUsage count="2">
        <fieldUsage x="-1"/>
        <fieldUsage x="0"/>
      </fieldsUsage>
    </cacheHierarchy>
    <cacheHierarchy uniqueName="[Procurement_Data].[Supplier Country]" caption="Supplier Country" attribute="1" defaultMemberUniqueName="[Procurement_Data].[Supplier Country].[All]" allUniqueName="[Procurement_Data].[Supplier Country].[All]" dimensionUniqueName="[Procurement_Data]" displayFolder="" count="2" memberValueDatatype="130" unbalanced="0">
      <fieldsUsage count="2">
        <fieldUsage x="-1"/>
        <fieldUsage x="2"/>
      </fieldsUsage>
    </cacheHierarchy>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79629629" backgroundQuery="1" createdVersion="8" refreshedVersion="8" minRefreshableVersion="3" recordCount="0" supportSubquery="1" supportAdvancedDrill="1" xr:uid="{D69B449A-535D-487C-AE52-BC13CE2503B7}">
  <cacheSource type="external" connectionId="3"/>
  <cacheFields count="5">
    <cacheField name="[Procurement_Data].[Supplier].[Supplier]" caption="Supplier" numFmtId="0" hierarchy="12" level="1">
      <sharedItems count="5">
        <s v="DermiCare"/>
        <s v="ENT Solutions"/>
        <s v="EyeTech"/>
        <s v="MammoTech"/>
        <s v="RadiantTech"/>
      </sharedItems>
    </cacheField>
    <cacheField name="[Procurement_Data].[Supplier Country].[Supplier Country]" caption="Supplier Country" numFmtId="0" hierarchy="13" level="1">
      <sharedItems count="5">
        <s v="Australia"/>
        <s v="France"/>
        <s v="Germany"/>
        <s v="UAE"/>
        <s v="USA"/>
      </sharedItems>
    </cacheField>
    <cacheField name="[Measures].[Total Installation Cost]" caption="Total Installation Cost" numFmtId="0" hierarchy="24" level="32767"/>
    <cacheField name="[Procurement_Data].[Equipment Condition].[Equipment Condition]" caption="Equipment Condition" numFmtId="0" hierarchy="18" level="1">
      <sharedItems count="4">
        <s v="New"/>
        <s v="Refurbished"/>
        <s v="Used - Fair"/>
        <s v="Used - Good"/>
      </sharedItems>
    </cacheField>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4"/>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2" memberValueDatatype="130" unbalanced="0">
      <fieldsUsage count="2">
        <fieldUsage x="-1"/>
        <fieldUsage x="0"/>
      </fieldsUsage>
    </cacheHierarchy>
    <cacheHierarchy uniqueName="[Procurement_Data].[Supplier Country]" caption="Supplier Country" attribute="1" defaultMemberUniqueName="[Procurement_Data].[Supplier Country].[All]" allUniqueName="[Procurement_Data].[Supplier Country].[All]" dimensionUniqueName="[Procurement_Data]" displayFolder="" count="2" memberValueDatatype="130" unbalanced="0">
      <fieldsUsage count="2">
        <fieldUsage x="-1"/>
        <fieldUsage x="1"/>
      </fieldsUsage>
    </cacheHierarchy>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2" memberValueDatatype="130" unbalanced="0">
      <fieldsUsage count="2">
        <fieldUsage x="-1"/>
        <fieldUsage x="3"/>
      </fieldsUsage>
    </cacheHierarchy>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oneField="1">
      <fieldsUsage count="1">
        <fieldUsage x="2"/>
      </fieldsUsage>
    </cacheHierarchy>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1481484" backgroundQuery="1" createdVersion="8" refreshedVersion="8" minRefreshableVersion="3" recordCount="0" supportSubquery="1" supportAdvancedDrill="1" xr:uid="{7B97D1F1-3FB9-43C3-AA61-6B02132A7735}">
  <cacheSource type="external" connectionId="3"/>
  <cacheFields count="5">
    <cacheField name="[Procurement_Data].[Supplier].[Supplier]" caption="Supplier" numFmtId="0" hierarchy="12" level="1">
      <sharedItems count="5">
        <s v="DermiCare"/>
        <s v="ENT Solutions"/>
        <s v="EyeTech"/>
        <s v="MammoTech"/>
        <s v="RadiantTech"/>
      </sharedItems>
    </cacheField>
    <cacheField name="[Procurement_Data].[Supplier Country].[Supplier Country]" caption="Supplier Country" numFmtId="0" hierarchy="13" level="1">
      <sharedItems count="5">
        <s v="Australia"/>
        <s v="France"/>
        <s v="Germany"/>
        <s v="UAE"/>
        <s v="USA"/>
      </sharedItems>
    </cacheField>
    <cacheField name="[Procurement_Data].[Equipment].[Equipment]" caption="Equipment" numFmtId="0" hierarchy="9" level="1">
      <sharedItems count="5">
        <s v="CT Scanner"/>
        <s v="Defibrillator"/>
        <s v="Infant Incubator"/>
        <s v="Phototherapy Unit"/>
        <s v="X-ray Machine"/>
      </sharedItems>
    </cacheField>
    <cacheField name="[Measures].[Total Procurement Cost]" caption="Total Procurement Cost" numFmtId="0" hierarchy="20"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4"/>
      </fieldsUsage>
    </cacheHierarchy>
    <cacheHierarchy uniqueName="[Procurement_Data].[Equipment]" caption="Equipment" attribute="1" defaultMemberUniqueName="[Procurement_Data].[Equipment].[All]" allUniqueName="[Procurement_Data].[Equipment].[All]" dimensionUniqueName="[Procurement_Data]" displayFolder="" count="2" memberValueDatatype="130" unbalanced="0">
      <fieldsUsage count="2">
        <fieldUsage x="-1"/>
        <fieldUsage x="2"/>
      </fieldsUsage>
    </cacheHierarchy>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2" memberValueDatatype="130" unbalanced="0">
      <fieldsUsage count="2">
        <fieldUsage x="-1"/>
        <fieldUsage x="0"/>
      </fieldsUsage>
    </cacheHierarchy>
    <cacheHierarchy uniqueName="[Procurement_Data].[Supplier Country]" caption="Supplier Country" attribute="1" defaultMemberUniqueName="[Procurement_Data].[Supplier Country].[All]" allUniqueName="[Procurement_Data].[Supplier Country].[All]" dimensionUniqueName="[Procurement_Data]" displayFolder="" count="2" memberValueDatatype="130" unbalanced="0">
      <fieldsUsage count="2">
        <fieldUsage x="-1"/>
        <fieldUsage x="1"/>
      </fieldsUsage>
    </cacheHierarchy>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oneField="1">
      <fieldsUsage count="1">
        <fieldUsage x="3"/>
      </fieldsUsage>
    </cacheHierarchy>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3101854" backgroundQuery="1" createdVersion="8" refreshedVersion="8" minRefreshableVersion="3" recordCount="0" supportSubquery="1" supportAdvancedDrill="1" xr:uid="{C71C9BF3-4E93-438B-AC5F-0565A3982BD6}">
  <cacheSource type="external" connectionId="3"/>
  <cacheFields count="5">
    <cacheField name="[Procurement_Data].[Supplier].[Supplier]" caption="Supplier" numFmtId="0" hierarchy="12" level="1">
      <sharedItems count="5">
        <s v="DermiCare"/>
        <s v="ENT Solutions"/>
        <s v="EyeTech"/>
        <s v="MammoTech"/>
        <s v="RadiantTech"/>
      </sharedItems>
    </cacheField>
    <cacheField name="[Procurement_Data].[Supplier Country].[Supplier Country]" caption="Supplier Country" numFmtId="0" hierarchy="13" level="1">
      <sharedItems count="5">
        <s v="Australia"/>
        <s v="France"/>
        <s v="Germany"/>
        <s v="UAE"/>
        <s v="USA"/>
      </sharedItems>
    </cacheField>
    <cacheField name="[Procurement_Data].[Equipment].[Equipment]" caption="Equipment" numFmtId="0" hierarchy="9" level="1">
      <sharedItems count="5">
        <s v="CT Scanner"/>
        <s v="Defibrillator"/>
        <s v="Infant Incubator"/>
        <s v="Phototherapy Unit"/>
        <s v="X-ray Machine"/>
      </sharedItems>
    </cacheField>
    <cacheField name="[Measures].[Sum of Quantity]" caption="Sum of Quantity" numFmtId="0" hierarchy="28"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4"/>
      </fieldsUsage>
    </cacheHierarchy>
    <cacheHierarchy uniqueName="[Procurement_Data].[Equipment]" caption="Equipment" attribute="1" defaultMemberUniqueName="[Procurement_Data].[Equipment].[All]" allUniqueName="[Procurement_Data].[Equipment].[All]" dimensionUniqueName="[Procurement_Data]" displayFolder="" count="2" memberValueDatatype="130" unbalanced="0">
      <fieldsUsage count="2">
        <fieldUsage x="-1"/>
        <fieldUsage x="2"/>
      </fieldsUsage>
    </cacheHierarchy>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2" memberValueDatatype="130" unbalanced="0">
      <fieldsUsage count="2">
        <fieldUsage x="-1"/>
        <fieldUsage x="0"/>
      </fieldsUsage>
    </cacheHierarchy>
    <cacheHierarchy uniqueName="[Procurement_Data].[Supplier Country]" caption="Supplier Country" attribute="1" defaultMemberUniqueName="[Procurement_Data].[Supplier Country].[All]" allUniqueName="[Procurement_Data].[Supplier Country].[All]" dimensionUniqueName="[Procurement_Data]" displayFolder="" count="2" memberValueDatatype="130" unbalanced="0">
      <fieldsUsage count="2">
        <fieldUsage x="-1"/>
        <fieldUsage x="1"/>
      </fieldsUsage>
    </cacheHierarchy>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4027778" backgroundQuery="1" createdVersion="8" refreshedVersion="8" minRefreshableVersion="3" recordCount="0" supportSubquery="1" supportAdvancedDrill="1" xr:uid="{83290E2B-0999-4897-B94C-14888A2C03E6}">
  <cacheSource type="external" connectionId="3"/>
  <cacheFields count="2">
    <cacheField name="[Measures].[Total Procurement Cost]" caption="Total Procurement Cost" numFmtId="0" hierarchy="20"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oneField="1">
      <fieldsUsage count="1">
        <fieldUsage x="0"/>
      </fieldsUsage>
    </cacheHierarchy>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4953702" backgroundQuery="1" createdVersion="8" refreshedVersion="8" minRefreshableVersion="3" recordCount="0" supportSubquery="1" supportAdvancedDrill="1" xr:uid="{EE9338A2-421D-4F2D-A49D-7223F0E8D89E}">
  <cacheSource type="external" connectionId="3"/>
  <cacheFields count="2">
    <cacheField name="[Measures].[Average Unit Price]" caption="Average Unit Price" numFmtId="0" hierarchy="21"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oneField="1">
      <fieldsUsage count="1">
        <fieldUsage x="0"/>
      </fieldsUsage>
    </cacheHierarchy>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611111" backgroundQuery="1" createdVersion="8" refreshedVersion="8" minRefreshableVersion="3" recordCount="0" supportSubquery="1" supportAdvancedDrill="1" xr:uid="{BEE43096-389E-44D5-8666-14F7A06A8C1D}">
  <cacheSource type="external" connectionId="3"/>
  <cacheFields count="2">
    <cacheField name="[Measures].[Average Delivery Time]" caption="Average Delivery Time" numFmtId="0" hierarchy="22"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oneField="1">
      <fieldsUsage count="1">
        <fieldUsage x="0"/>
      </fieldsUsage>
    </cacheHierarchy>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6689818" backgroundQuery="1" createdVersion="8" refreshedVersion="8" minRefreshableVersion="3" recordCount="0" supportSubquery="1" supportAdvancedDrill="1" xr:uid="{284CD110-78A9-4877-8B36-7060EC45B261}">
  <cacheSource type="external" connectionId="3"/>
  <cacheFields count="2">
    <cacheField name="[Measures].[Total maintence cost per year]" caption="Total maintence cost per year" numFmtId="0" hierarchy="23"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oneField="1">
      <fieldsUsage count="1">
        <fieldUsage x="0"/>
      </fieldsUsage>
    </cacheHierarchy>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7847219" backgroundQuery="1" createdVersion="8" refreshedVersion="8" minRefreshableVersion="3" recordCount="0" supportSubquery="1" supportAdvancedDrill="1" xr:uid="{DCF388C8-8FED-45A2-B1DF-B97541381A32}">
  <cacheSource type="external" connectionId="3"/>
  <cacheFields count="2">
    <cacheField name="[Measures].[Total Installation Cost]" caption="Total Installation Cost" numFmtId="0" hierarchy="24"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oneField="1">
      <fieldsUsage count="1">
        <fieldUsage x="0"/>
      </fieldsUsage>
    </cacheHierarchy>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89699074" backgroundQuery="1" createdVersion="8" refreshedVersion="8" minRefreshableVersion="3" recordCount="0" supportSubquery="1" supportAdvancedDrill="1" xr:uid="{77604602-CAE0-4E13-8F57-4FEBE8736AD5}">
  <cacheSource type="external" connectionId="3"/>
  <cacheFields count="3">
    <cacheField name="[Procurement_Data].[Hospital].[Hospital]" caption="Hospital" numFmtId="0" hierarchy="6" level="1">
      <sharedItems count="5">
        <s v="Benin City General Hospital"/>
        <s v="Dutse General Hospital"/>
        <s v="Gusau General Hospital"/>
        <s v="Minna Federal Medical Center"/>
        <s v="Yenagoa Medical Center"/>
      </sharedItems>
    </cacheField>
    <cacheField name="[Measures].[Total Procurement Cost]" caption="Total Procurement Cost" numFmtId="0" hierarchy="20"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2" memberValueDatatype="130" unbalanced="0">
      <fieldsUsage count="2">
        <fieldUsage x="-1"/>
        <fieldUsage x="0"/>
      </fieldsUsage>
    </cacheHierarchy>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oneField="1">
      <fieldsUsage count="1">
        <fieldUsage x="1"/>
      </fieldsUsage>
    </cacheHierarchy>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9108796" backgroundQuery="1" createdVersion="8" refreshedVersion="8" minRefreshableVersion="3" recordCount="0" supportSubquery="1" supportAdvancedDrill="1" xr:uid="{BEFCB840-7A72-4E11-B055-EA7E49B12353}">
  <cacheSource type="external" connectionId="3"/>
  <cacheFields count="3">
    <cacheField name="[Procurement_Data].[Equipment Condition].[Equipment Condition]" caption="Equipment Condition" numFmtId="0" hierarchy="18" level="1">
      <sharedItems count="4">
        <s v="New"/>
        <s v="Refurbished"/>
        <s v="Used - Fair"/>
        <s v="Used - Good"/>
      </sharedItems>
    </cacheField>
    <cacheField name="[Procurement_Data].[Department].[Department]" caption="Department" numFmtId="0" hierarchy="8" level="1">
      <sharedItems count="21">
        <s v="Cardiology"/>
        <s v="Dermatology"/>
        <s v="Emergency Care"/>
        <s v="ENT"/>
        <s v="Gastroenterology"/>
        <s v="Gynecology"/>
        <s v="Hematology"/>
        <s v="Nephrology"/>
        <s v="Neurology"/>
        <s v="Neurosurgery"/>
        <s v="Obstetrics"/>
        <s v="Oncology"/>
        <s v="Ophthalmology"/>
        <s v="Orthopedics"/>
        <s v="Pediatrics"/>
        <s v="Psychiatry"/>
        <s v="Pulmonology"/>
        <s v="Radiology"/>
        <s v="Rheumatology"/>
        <s v="Surgery"/>
        <s v="Urology"/>
      </sharedItems>
    </cacheField>
    <cacheField name="[Measures].[Sum of Quantity]" caption="Sum of Quantity" numFmtId="0" hierarchy="28" level="32767"/>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1"/>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2" memberValueDatatype="130" unbalanced="0">
      <fieldsUsage count="2">
        <fieldUsage x="-1"/>
        <fieldUsage x="0"/>
      </fieldsUsage>
    </cacheHierarchy>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92476853" backgroundQuery="1" createdVersion="8" refreshedVersion="8" minRefreshableVersion="3" recordCount="0" supportSubquery="1" supportAdvancedDrill="1" xr:uid="{A6C1F8F8-BAAD-4433-8E53-6F8CEF7AD5CB}">
  <cacheSource type="external" connectionId="3"/>
  <cacheFields count="3">
    <cacheField name="[Procurement_Data].[Equipment].[Equipment]" caption="Equipment" numFmtId="0" hierarchy="9" level="1">
      <sharedItems count="5">
        <s v="Anesthesia Machine"/>
        <s v="CT Scanner"/>
        <s v="MRI Machine"/>
        <s v="Operating Table"/>
        <s v="Ventilator"/>
      </sharedItems>
    </cacheField>
    <cacheField name="[Measures].[Total maintence cost per year]" caption="Total maintence cost per year" numFmtId="0" hierarchy="23"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2" memberValueDatatype="130" unbalanced="0">
      <fieldsUsage count="2">
        <fieldUsage x="-1"/>
        <fieldUsage x="0"/>
      </fieldsUsage>
    </cacheHierarchy>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oneField="1">
      <fieldsUsage count="1">
        <fieldUsage x="1"/>
      </fieldsUsage>
    </cacheHierarchy>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94097223" backgroundQuery="1" createdVersion="8" refreshedVersion="8" minRefreshableVersion="3" recordCount="0" supportSubquery="1" supportAdvancedDrill="1" xr:uid="{6BFDE1F4-45C0-4D39-84DE-D06505EE4525}">
  <cacheSource type="external" connectionId="3"/>
  <cacheFields count="3">
    <cacheField name="[Procurement_Data].[Equipment].[Equipment]" caption="Equipment" numFmtId="0" hierarchy="9" level="1">
      <sharedItems count="5">
        <s v="Anesthesia Machine"/>
        <s v="CT Scanner"/>
        <s v="MRI Machine"/>
        <s v="Operating Table"/>
        <s v="Ventilator"/>
      </sharedItems>
    </cacheField>
    <cacheField name="[Measures].[Total maintence cost per year]" caption="Total maintence cost per year" numFmtId="0" hierarchy="23"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2" memberValueDatatype="130" unbalanced="0">
      <fieldsUsage count="2">
        <fieldUsage x="-1"/>
        <fieldUsage x="0"/>
      </fieldsUsage>
    </cacheHierarchy>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oneField="1">
      <fieldsUsage count="1">
        <fieldUsage x="1"/>
      </fieldsUsage>
    </cacheHierarchy>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53995833332" backgroundQuery="1" createdVersion="8" refreshedVersion="8" minRefreshableVersion="3" recordCount="0" supportSubquery="1" supportAdvancedDrill="1" xr:uid="{7783C1CC-016D-4A78-9DD1-5407F3D2443B}">
  <cacheSource type="external" connectionId="3"/>
  <cacheFields count="3">
    <cacheField name="[Procurement_Data].[Hospital].[Hospital]" caption="Hospital" numFmtId="0" hierarchy="6" level="1">
      <sharedItems count="5">
        <s v="Benin City General Hospital"/>
        <s v="Dutse General Hospital"/>
        <s v="Gusau General Hospital"/>
        <s v="Minna Federal Medical Center"/>
        <s v="Yenagoa Medical Center"/>
      </sharedItems>
    </cacheField>
    <cacheField name="[Measures].[Total Procurement Cost]" caption="Total Procurement Cost" numFmtId="0" hierarchy="20" level="32767"/>
    <cacheField name="[Procurement_Data].[Department].[Department]" caption="Department" numFmtId="0" hierarchy="8" level="1">
      <sharedItems containsSemiMixedTypes="0" containsNonDate="0" containsString="0"/>
    </cacheField>
  </cacheFields>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2" memberValueDatatype="130" unbalanced="0">
      <fieldsUsage count="2">
        <fieldUsage x="-1"/>
        <fieldUsage x="0"/>
      </fieldsUsage>
    </cacheHierarchy>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fieldsUsage count="2">
        <fieldUsage x="-1"/>
        <fieldUsage x="2"/>
      </fieldsUsage>
    </cacheHierarchy>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oneField="1">
      <fieldsUsage count="1">
        <fieldUsage x="1"/>
      </fieldsUsage>
    </cacheHierarchy>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dimensions count="3">
    <dimension name="Date" uniqueName="[Date]" caption="Date"/>
    <dimension measure="1" name="Measures" uniqueName="[Measures]" caption="Measures"/>
    <dimension name="Procurement_Data" uniqueName="[Procurement_Data]" caption="Procurement_Data"/>
  </dimensions>
  <measureGroups count="2">
    <measureGroup name="Date" caption="Date"/>
    <measureGroup name="Procurement_Data" caption="Procurement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27.543552430558" backgroundQuery="1" createdVersion="3" refreshedVersion="8" minRefreshableVersion="3" recordCount="0" supportSubquery="1" supportAdvancedDrill="1" xr:uid="{34F10302-7D0D-4E3A-BD14-824F03A76D0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e].[Date Delivered]" caption="Date Delivered" attribute="1" time="1" defaultMemberUniqueName="[Date].[Date Delivered].[All]" allUniqueName="[Date].[Date Delivered].[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Day num]" caption="Day num" attribute="1" defaultMemberUniqueName="[Date].[Day num].[All]" allUniqueName="[Date].[Day num].[All]" dimensionUniqueName="[Date]" displayFolder="" count="0"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Month Num]" caption="Month Num" attribute="1" defaultMemberUniqueName="[Date].[Month Num].[All]" allUniqueName="[Date].[Month Num].[All]" dimensionUniqueName="[Date]" displayFolder="" count="0" memberValueDatatype="20" unbalanced="0"/>
    <cacheHierarchy uniqueName="[Procurement_Data].[Serial No]" caption="Serial No" attribute="1" defaultMemberUniqueName="[Procurement_Data].[Serial No].[All]" allUniqueName="[Procurement_Data].[Serial No].[All]" dimensionUniqueName="[Procurement_Data]" displayFolder="" count="0" memberValueDatatype="20" unbalanced="0"/>
    <cacheHierarchy uniqueName="[Procurement_Data].[Hospital]" caption="Hospital" attribute="1" defaultMemberUniqueName="[Procurement_Data].[Hospital].[All]" allUniqueName="[Procurement_Data].[Hospital].[All]" dimensionUniqueName="[Procurement_Data]" displayFolder="" count="0" memberValueDatatype="130" unbalanced="0"/>
    <cacheHierarchy uniqueName="[Procurement_Data].[State]" caption="State" attribute="1" defaultMemberUniqueName="[Procurement_Data].[State].[All]" allUniqueName="[Procurement_Data].[State].[All]" dimensionUniqueName="[Procurement_Data]" displayFolder="" count="2" memberValueDatatype="130" unbalanced="0"/>
    <cacheHierarchy uniqueName="[Procurement_Data].[Department]" caption="Department" attribute="1" defaultMemberUniqueName="[Procurement_Data].[Department].[All]" allUniqueName="[Procurement_Data].[Department].[All]" dimensionUniqueName="[Procurement_Data]" displayFolder="" count="2" memberValueDatatype="130" unbalanced="0"/>
    <cacheHierarchy uniqueName="[Procurement_Data].[Equipment]" caption="Equipment" attribute="1" defaultMemberUniqueName="[Procurement_Data].[Equipment].[All]" allUniqueName="[Procurement_Data].[Equipment].[All]" dimensionUniqueName="[Procurement_Data]" displayFolder="" count="0" memberValueDatatype="130" unbalanced="0"/>
    <cacheHierarchy uniqueName="[Procurement_Data].[Quantity]" caption="Quantity" attribute="1" defaultMemberUniqueName="[Procurement_Data].[Quantity].[All]" allUniqueName="[Procurement_Data].[Quantity].[All]" dimensionUniqueName="[Procurement_Data]" displayFolder="" count="0" memberValueDatatype="20" unbalanced="0"/>
    <cacheHierarchy uniqueName="[Procurement_Data].[Unit Price (USD)]" caption="Unit Price (USD)" attribute="1" defaultMemberUniqueName="[Procurement_Data].[Unit Price (USD)].[All]" allUniqueName="[Procurement_Data].[Unit Price (USD)].[All]" dimensionUniqueName="[Procurement_Data]" displayFolder="" count="0" memberValueDatatype="20" unbalanced="0"/>
    <cacheHierarchy uniqueName="[Procurement_Data].[Supplier]" caption="Supplier" attribute="1" defaultMemberUniqueName="[Procurement_Data].[Supplier].[All]" allUniqueName="[Procurement_Data].[Supplier].[All]" dimensionUniqueName="[Procurement_Data]" displayFolder="" count="0" memberValueDatatype="130" unbalanced="0"/>
    <cacheHierarchy uniqueName="[Procurement_Data].[Supplier Country]" caption="Supplier Country" attribute="1" defaultMemberUniqueName="[Procurement_Data].[Supplier Country].[All]" allUniqueName="[Procurement_Data].[Supplier Country].[All]" dimensionUniqueName="[Procurement_Data]" displayFolder="" count="0" memberValueDatatype="130" unbalanced="0"/>
    <cacheHierarchy uniqueName="[Procurement_Data].[Date Ordered]" caption="Date Ordered" attribute="1" time="1" defaultMemberUniqueName="[Procurement_Data].[Date Ordered].[All]" allUniqueName="[Procurement_Data].[Date Ordered].[All]" dimensionUniqueName="[Procurement_Data]" displayFolder="" count="0" memberValueDatatype="7" unbalanced="0"/>
    <cacheHierarchy uniqueName="[Procurement_Data].[Date Delivered]" caption="Date Delivered" attribute="1" time="1" defaultMemberUniqueName="[Procurement_Data].[Date Delivered].[All]" allUniqueName="[Procurement_Data].[Date Delivered].[All]" dimensionUniqueName="[Procurement_Data]" displayFolder="" count="0" memberValueDatatype="7" unbalanced="0"/>
    <cacheHierarchy uniqueName="[Procurement_Data].[Maintenance Cost (USD/year)]" caption="Maintenance Cost (USD/year)" attribute="1" defaultMemberUniqueName="[Procurement_Data].[Maintenance Cost (USD/year)].[All]" allUniqueName="[Procurement_Data].[Maintenance Cost (USD/year)].[All]" dimensionUniqueName="[Procurement_Data]" displayFolder="" count="0" memberValueDatatype="20" unbalanced="0"/>
    <cacheHierarchy uniqueName="[Procurement_Data].[Installation Cost (USD)]" caption="Installation Cost (USD)" attribute="1" defaultMemberUniqueName="[Procurement_Data].[Installation Cost (USD)].[All]" allUniqueName="[Procurement_Data].[Installation Cost (USD)].[All]" dimensionUniqueName="[Procurement_Data]" displayFolder="" count="0" memberValueDatatype="20" unbalanced="0"/>
    <cacheHierarchy uniqueName="[Procurement_Data].[Equipment Condition]" caption="Equipment Condition" attribute="1" defaultMemberUniqueName="[Procurement_Data].[Equipment Condition].[All]" allUniqueName="[Procurement_Data].[Equipment Condition].[All]" dimensionUniqueName="[Procurement_Data]" displayFolder="" count="0" memberValueDatatype="130" unbalanced="0"/>
    <cacheHierarchy uniqueName="[Measures].[Total Equipment Procured]" caption="Total Equipment Procured" measure="1" displayFolder="" measureGroup="Procurement_Data" count="0"/>
    <cacheHierarchy uniqueName="[Measures].[Total Procurement Cost]" caption="Total Procurement Cost" measure="1" displayFolder="" measureGroup="Procurement_Data" count="0"/>
    <cacheHierarchy uniqueName="[Measures].[Average Unit Price]" caption="Average Unit Price" measure="1" displayFolder="" measureGroup="Procurement_Data" count="0"/>
    <cacheHierarchy uniqueName="[Measures].[Average Delivery Time]" caption="Average Delivery Time" measure="1" displayFolder="" measureGroup="Procurement_Data" count="0"/>
    <cacheHierarchy uniqueName="[Measures].[Total maintence cost per year]" caption="Total maintence cost per year" measure="1" displayFolder="" measureGroup="Procurement_Data" count="0"/>
    <cacheHierarchy uniqueName="[Measures].[Total Installation Cost]" caption="Total Installation Cost" measure="1" displayFolder="" measureGroup="Procurement_Data" count="0"/>
    <cacheHierarchy uniqueName="[Measures].[__XL_Count Date]" caption="__XL_Count Date" measure="1" displayFolder="" measureGroup="Date" count="0" hidden="1"/>
    <cacheHierarchy uniqueName="[Measures].[__XL_Count Procurement_Data]" caption="__XL_Count Procurement_Data" measure="1" displayFolder="" measureGroup="Procurement_Data" count="0" hidden="1"/>
    <cacheHierarchy uniqueName="[Measures].[__No measures defined]" caption="__No measures defined" measure="1" displayFolder="" count="0" hidden="1"/>
    <cacheHierarchy uniqueName="[Measures].[Sum of Quantity]" caption="Sum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Sum of Maintenance Cost (USD/year)]" caption="Sum of Maintenance Cost (USD/year)" measure="1" displayFolder="" measureGroup="Procurement_Data" count="0" hidden="1">
      <extLst>
        <ext xmlns:x15="http://schemas.microsoft.com/office/spreadsheetml/2010/11/main" uri="{B97F6D7D-B522-45F9-BDA1-12C45D357490}">
          <x15:cacheHierarchy aggregatedColumn="16"/>
        </ext>
      </extLst>
    </cacheHierarchy>
    <cacheHierarchy uniqueName="[Measures].[Count of Supplier]" caption="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Distinct Count of Supplier]" caption="Distinct Count of Supplier" measure="1" displayFolder="" measureGroup="Procurement_Data" count="0" hidden="1">
      <extLst>
        <ext xmlns:x15="http://schemas.microsoft.com/office/spreadsheetml/2010/11/main" uri="{B97F6D7D-B522-45F9-BDA1-12C45D357490}">
          <x15:cacheHierarchy aggregatedColumn="12"/>
        </ext>
      </extLst>
    </cacheHierarchy>
    <cacheHierarchy uniqueName="[Measures].[Count of Quantity]" caption="Count of Quantity" measure="1" displayFolder="" measureGroup="Procurement_Data" count="0" hidden="1">
      <extLst>
        <ext xmlns:x15="http://schemas.microsoft.com/office/spreadsheetml/2010/11/main" uri="{B97F6D7D-B522-45F9-BDA1-12C45D357490}">
          <x15:cacheHierarchy aggregatedColumn="10"/>
        </ext>
      </extLst>
    </cacheHierarchy>
    <cacheHierarchy uniqueName="[Measures].[Distinct Count of Quantity]" caption="Distinct Count of Quantity" measure="1" displayFolder="" measureGroup="Procurement_Data"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878652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5B8FFE-999B-43E3-A926-4899A4286A18}" name="PivotTable19" cacheId="1728" applyNumberFormats="0" applyBorderFormats="0" applyFontFormats="0" applyPatternFormats="0" applyAlignmentFormats="0" applyWidthHeightFormats="1" dataCaption="Values" tag="6f09fe99-7187-45e3-91b5-9aa421d0a686" updatedVersion="8" minRefreshableVersion="3" useAutoFormatting="1" itemPrintTitles="1" createdVersion="5" indent="0" outline="1" outlineData="1" multipleFieldFilters="0">
  <location ref="B3:D20" firstHeaderRow="1" firstDataRow="1" firstDataCol="0"/>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5B55EE-7A6E-4F87-8FCD-A9A8B99FF77A}" name="PivotTable20" cacheId="1847" applyNumberFormats="0" applyBorderFormats="0" applyFontFormats="0" applyPatternFormats="0" applyAlignmentFormats="0" applyWidthHeightFormats="1" dataCaption="Values" tag="97d5131c-b3d6-4b00-8621-e04b07fd7bf8" updatedVersion="8" minRefreshableVersion="3" useAutoFormatting="1" subtotalHiddenItems="1" itemPrintTitles="1" createdVersion="8" indent="0" outline="1" outlineData="1" multipleFieldFilters="0" chartFormat="1">
  <location ref="A83:B89"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i>
    <i>
      <x v="2"/>
    </i>
    <i t="grand">
      <x/>
    </i>
  </rowItems>
  <colItems count="1">
    <i/>
  </colItems>
  <dataFields count="1">
    <dataField fld="1" subtotal="count" baseField="0" baseItem="0" numFmtId="164"/>
  </dataFields>
  <formats count="1">
    <format dxfId="0">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FE6F3E-0DD6-4505-A91C-778A51A61406}" name="PivotTable18" cacheId="1844" applyNumberFormats="0" applyBorderFormats="0" applyFontFormats="0" applyPatternFormats="0" applyAlignmentFormats="0" applyWidthHeightFormats="1" dataCaption="Values" tag="81bc4dfe-babf-4d9e-8f96-3c1602be73bb" updatedVersion="8" minRefreshableVersion="3" useAutoFormatting="1" subtotalHiddenItems="1" itemPrintTitles="1" createdVersion="8" indent="0" outline="1" outlineData="1" multipleFieldFilters="0" chartFormat="1">
  <location ref="C2:D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i>
    <i>
      <x v="4"/>
    </i>
    <i>
      <x v="3"/>
    </i>
    <i t="grand">
      <x/>
    </i>
  </rowItems>
  <colItems count="1">
    <i/>
  </colItems>
  <dataFields count="1">
    <dataField fld="1" subtotal="count" baseField="0" baseItem="0"/>
  </dataFields>
  <formats count="1">
    <format dxfId="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4B5A0B-4206-4717-8A24-B1962D38994F}" name="PivotTable10" cacheId="1799" applyNumberFormats="0" applyBorderFormats="0" applyFontFormats="0" applyPatternFormats="0" applyAlignmentFormats="0" applyWidthHeightFormats="1" dataCaption="Values" tag="7509842a-bacf-48fb-8c77-2b67a917c9d4" updatedVersion="8" minRefreshableVersion="3" useAutoFormatting="1" subtotalHiddenItems="1" itemPrintTitles="1" createdVersion="8" indent="0" outline="1" outlineData="1" multipleFieldFilters="0" chartFormat="1">
  <location ref="J60:K66"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3"/>
    </i>
    <i>
      <x v="1"/>
    </i>
    <i>
      <x v="4"/>
    </i>
    <i t="grand">
      <x/>
    </i>
  </rowItems>
  <colItems count="1">
    <i/>
  </colItems>
  <dataFields count="1">
    <dataField fld="1" subtotal="count" baseField="0" baseItem="0" numFmtId="1"/>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22">
      <autoFilter ref="A1">
        <filterColumn colId="0">
          <top10 top="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C66775-5CE7-4ABD-88EA-B793D859CB7A}" name="PivotTable3" cacheId="1823" applyNumberFormats="0" applyBorderFormats="0" applyFontFormats="0" applyPatternFormats="0" applyAlignmentFormats="0" applyWidthHeightFormats="1" dataCaption="Values" tag="6e35a94c-119e-4e3f-9639-9275a54c1dd6"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6">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998672-EFD6-4C2B-82DD-D2E3BE388C6B}" name="PivotTable15" cacheId="1811" applyNumberFormats="0" applyBorderFormats="0" applyFontFormats="0" applyPatternFormats="0" applyAlignmentFormats="0" applyWidthHeightFormats="1" dataCaption="Values" tag="145aec8a-ca8d-4f6f-b9fb-043331b526c3" updatedVersion="8" minRefreshableVersion="3" useAutoFormatting="1" subtotalHiddenItems="1" itemPrintTitles="1" createdVersion="8" indent="0" outline="1" outlineData="1" multipleFieldFilters="0" chartFormat="1">
  <location ref="Q19:R2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fld="2" subtotal="count" baseField="0" baseItem="0" numFmtId="164"/>
  </dataFields>
  <formats count="1">
    <format dxfId="11">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2">
      <autoFilter ref="A1">
        <filterColumn colId="0">
          <top10 top="0" val="5" filterVal="5"/>
        </filterColumn>
      </autoFilter>
    </filter>
    <filter fld="1" type="count" id="5" iMeasureHier="2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77003-A9EF-4226-9CEF-C9EFDCE66578}" name="PivotTable11" cacheId="1793" applyNumberFormats="0" applyBorderFormats="0" applyFontFormats="0" applyPatternFormats="0" applyAlignmentFormats="0" applyWidthHeightFormats="1" dataCaption="Values" tag="1b4e872f-927c-4ee9-8909-6ac3a1aee665" updatedVersion="8" minRefreshableVersion="3" useAutoFormatting="1" subtotalHiddenItems="1" itemPrintTitles="1" createdVersion="8" indent="0" outline="1" outlineData="1" multipleFieldFilters="0">
  <location ref="A58:B69"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8"/>
    </i>
    <i>
      <x v="4"/>
    </i>
    <i>
      <x v="5"/>
    </i>
    <i>
      <x v="1"/>
    </i>
    <i>
      <x v="6"/>
    </i>
    <i>
      <x v="3"/>
    </i>
    <i>
      <x v="2"/>
    </i>
    <i>
      <x v="7"/>
    </i>
    <i>
      <x/>
    </i>
    <i t="grand">
      <x/>
    </i>
  </rowItems>
  <colItems count="1">
    <i/>
  </colItems>
  <dataFields count="1">
    <dataField fld="0" subtotal="count" baseField="0" baseItem="0" numFmtId="164"/>
  </dataFields>
  <formats count="1">
    <format dxfId="1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DB9A24-3ED0-4975-9626-6AD861393B0C}" name="PivotTable9" cacheId="1841" applyNumberFormats="0" applyBorderFormats="0" applyFontFormats="0" applyPatternFormats="0" applyAlignmentFormats="0" applyWidthHeightFormats="1" dataCaption="Values" tag="3eefc4c7-07bd-4dbf-99c9-e68db769304b" updatedVersion="8" minRefreshableVersion="3" useAutoFormatting="1" subtotalHiddenItems="1" itemPrintTitles="1" createdVersion="8" indent="0" outline="1" outlineData="1" multipleFieldFilters="0" chartFormat="1">
  <location ref="C12:D18"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i>
    <i>
      <x v="4"/>
    </i>
    <i>
      <x v="3"/>
    </i>
    <i t="grand">
      <x/>
    </i>
  </rowItems>
  <colItems count="1">
    <i/>
  </colItems>
  <dataFields count="1">
    <dataField fld="1" subtotal="count" baseField="0" baseItem="0"/>
  </dataFields>
  <formats count="1">
    <format dxfId="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AF4B31-5654-4FD7-B994-DF647617F6A7}" name="PivotTable4" cacheId="1826" applyNumberFormats="0" applyBorderFormats="0" applyFontFormats="0" applyPatternFormats="0" applyAlignmentFormats="0" applyWidthHeightFormats="1" dataCaption="Values" tag="cbc503ae-c1d6-4cc9-b80b-114f47f9ab58" updatedVersion="8" minRefreshableVersion="3" useAutoFormatting="1" subtotalHiddenItems="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5D8273-FF6D-40F9-B88A-42E0DD287D59}" name="PivotTable16" cacheId="1814" applyNumberFormats="0" applyBorderFormats="0" applyFontFormats="0" applyPatternFormats="0" applyAlignmentFormats="0" applyWidthHeightFormats="1" dataCaption="Values" tag="f0548a99-21c6-43fc-adbb-b704c45ca036" updatedVersion="8" minRefreshableVersion="3" useAutoFormatting="1" subtotalHiddenItems="1" itemPrintTitles="1" createdVersion="8" indent="0" outline="1" outlineData="1" multipleFieldFilters="0" chartFormat="1">
  <location ref="Q28:R34"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i>
    <i>
      <x v="4"/>
    </i>
    <i>
      <x v="1"/>
    </i>
    <i>
      <x v="2"/>
    </i>
    <i>
      <x v="3"/>
    </i>
    <i t="grand">
      <x/>
    </i>
  </rowItems>
  <colItems count="1">
    <i/>
  </colItems>
  <dataFields count="1">
    <dataField fld="3" subtotal="count" baseField="0" baseItem="0"/>
  </dataFields>
  <formats count="2">
    <format dxfId="9">
      <pivotArea outline="0" collapsedLevelsAreSubtotals="1" fieldPosition="0"/>
    </format>
    <format dxfId="10">
      <pivotArea collapsedLevelsAreSubtotals="1" fieldPosition="0">
        <references count="1">
          <reference field="2" count="0"/>
        </references>
      </pivotArea>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caption="Count of Quantity"/>
    <pivotHierarchy dragToData="1" caption="Distinct Count of Quantity"/>
  </pivotHierarchies>
  <pivotTableStyleInfo name="PivotStyleLight16" showRowHeaders="1" showColHeaders="1" showRowStripes="0" showColStripes="0" showLastColumn="1"/>
  <filters count="3">
    <filter fld="0" type="count" id="4" iMeasureHier="22">
      <autoFilter ref="A1">
        <filterColumn colId="0">
          <top10 top="0" val="5" filterVal="5"/>
        </filterColumn>
      </autoFilter>
    </filter>
    <filter fld="1" type="count" id="5" iMeasureHier="28">
      <autoFilter ref="A1">
        <filterColumn colId="0">
          <top10 val="5" filterVal="5"/>
        </filterColumn>
      </autoFilter>
    </filter>
    <filter fld="2" type="count" id="6" iMeasureHier="2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F1BA0E-8CB5-42EA-8EC2-B1B3E457456F}" name="PivotTable6" cacheId="1832" applyNumberFormats="0" applyBorderFormats="0" applyFontFormats="0" applyPatternFormats="0" applyAlignmentFormats="0" applyWidthHeightFormats="1" dataCaption="Values" tag="bb7ee816-5418-47c3-b34c-c06604d54853" updatedVersion="8" minRefreshableVersion="3" useAutoFormatting="1" subtotalHiddenItems="1" itemPrintTitles="1" createdVersion="8" indent="0" outline="1" outlineData="1" multipleFieldFilters="0">
  <location ref="A23:A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4">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C3C18C-C0CC-471B-AFF4-1F0620D9960E}" name="PivotTable2" cacheId="1820" applyNumberFormats="0" applyBorderFormats="0" applyFontFormats="0" applyPatternFormats="0" applyAlignmentFormats="0" applyWidthHeightFormats="1" dataCaption="Values" tag="01881657-e13c-4262-900d-649c68fc7e6a" updatedVersion="8" minRefreshableVersion="3" useAutoFormatting="1" subtotalHiddenItems="1"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7">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C4C4B1-5989-49DE-95AE-F98EF3E3DDE8}" name="PivotTable8" cacheId="1838" applyNumberFormats="0" applyBorderFormats="0" applyFontFormats="0" applyPatternFormats="0" applyAlignmentFormats="0" applyWidthHeightFormats="1" dataCaption="Values" tag="0c714859-697e-4cca-ab3b-eff533019086" updatedVersion="8" minRefreshableVersion="3" useAutoFormatting="1" subtotalHiddenItems="1" itemPrintTitles="1" createdVersion="8" indent="0" outline="1" outlineData="1" multipleFieldFilters="0" chartFormat="3">
  <location ref="G12:L35"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0"/>
  </colFields>
  <colItems count="5">
    <i>
      <x/>
    </i>
    <i>
      <x v="1"/>
    </i>
    <i>
      <x v="2"/>
    </i>
    <i>
      <x v="3"/>
    </i>
    <i t="grand">
      <x/>
    </i>
  </colItems>
  <dataFields count="1">
    <dataField name="Sum of Quantity" fld="2" baseField="0" baseItem="0"/>
  </dataFields>
  <chartFormats count="4">
    <chartFormat chart="1" format="4" series="1">
      <pivotArea type="data" outline="0" fieldPosition="0">
        <references count="2">
          <reference field="4294967294" count="1" selected="0">
            <x v="0"/>
          </reference>
          <reference field="0" count="1" selected="0">
            <x v="0"/>
          </reference>
        </references>
      </pivotArea>
    </chartFormat>
    <chartFormat chart="1" format="5" series="1">
      <pivotArea type="data" outline="0" fieldPosition="0">
        <references count="2">
          <reference field="4294967294" count="1" selected="0">
            <x v="0"/>
          </reference>
          <reference field="0" count="1" selected="0">
            <x v="1"/>
          </reference>
        </references>
      </pivotArea>
    </chartFormat>
    <chartFormat chart="1" format="6" series="1">
      <pivotArea type="data" outline="0" fieldPosition="0">
        <references count="2">
          <reference field="4294967294" count="1" selected="0">
            <x v="0"/>
          </reference>
          <reference field="0" count="1" selected="0">
            <x v="2"/>
          </reference>
        </references>
      </pivotArea>
    </chartFormat>
    <chartFormat chart="1" format="7" series="1">
      <pivotArea type="data" outline="0" fieldPosition="0">
        <references count="2">
          <reference field="4294967294" count="1" selected="0">
            <x v="0"/>
          </reference>
          <reference field="0" count="1" selected="0">
            <x v="3"/>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D42F62-FC26-41FE-8B83-6E8FF9A2DD02}" name="PivotTable5" cacheId="1829" applyNumberFormats="0" applyBorderFormats="0" applyFontFormats="0" applyPatternFormats="0" applyAlignmentFormats="0" applyWidthHeightFormats="1" dataCaption="Values" tag="8c0a51c2-50e4-44a2-b466-2ebf68d41a12" updatedVersion="8" minRefreshableVersion="3" useAutoFormatting="1" subtotalHiddenItems="1" itemPrintTitles="1" createdVersion="8" indent="0" outline="1" outlineData="1" multipleFieldFilters="0">
  <location ref="A19:A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1">
    <format dxfId="5">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19771B9-563E-40A5-8B1F-B78ABB465529}" name="PivotTable1" cacheId="1796" applyNumberFormats="0" applyBorderFormats="0" applyFontFormats="0" applyPatternFormats="0" applyAlignmentFormats="0" applyWidthHeightFormats="1" dataCaption="Values" tag="7549806b-a127-430f-a611-f7caccb4c677"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1E5EB57-32E7-429C-9A80-461647AE611F}" name="PivotTable17" cacheId="1817" applyNumberFormats="0" applyBorderFormats="0" applyFontFormats="0" applyPatternFormats="0" applyAlignmentFormats="0" applyWidthHeightFormats="1" dataCaption="Values" tag="a0fdcaf7-3d54-4a5a-bd38-c208d6b72827" updatedVersion="8" minRefreshableVersion="3" useAutoFormatting="1" subtotalHiddenItems="1" itemPrintTitles="1" createdVersion="8" indent="0" outline="1" outlineData="1" multipleFieldFilters="0" chartFormat="1">
  <location ref="Q36:R42" firstHeaderRow="1" firstDataRow="1" firstDataCol="1"/>
  <pivotFields count="5">
    <pivotField allDrilled="1" subtotalTop="0" showAll="0" measureFilter="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v="1"/>
    </i>
    <i>
      <x v="2"/>
    </i>
    <i>
      <x/>
    </i>
    <i>
      <x v="3"/>
    </i>
    <i>
      <x v="4"/>
    </i>
    <i t="grand">
      <x/>
    </i>
  </rowItems>
  <colItems count="1">
    <i/>
  </colItems>
  <dataFields count="1">
    <dataField name="Sum of Quantity" fld="3" baseField="0" baseItem="0"/>
  </dataFields>
  <formats count="1">
    <format dxfId="8">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caption="Count of Quantity"/>
    <pivotHierarchy dragToData="1" caption="Distinct Count of Quantity"/>
  </pivotHierarchies>
  <pivotTableStyleInfo name="PivotStyleLight16" showRowHeaders="1" showColHeaders="1" showRowStripes="0" showColStripes="0" showLastColumn="1"/>
  <filters count="3">
    <filter fld="0" type="count" id="4" iMeasureHier="22">
      <autoFilter ref="A1">
        <filterColumn colId="0">
          <top10 top="0" val="5" filterVal="5"/>
        </filterColumn>
      </autoFilter>
    </filter>
    <filter fld="1" type="count" id="5" iMeasureHier="28">
      <autoFilter ref="A1">
        <filterColumn colId="0">
          <top10 val="5" filterVal="5"/>
        </filterColumn>
      </autoFilter>
    </filter>
    <filter fld="2" type="count" id="6" iMeasureHier="28">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FAE6528-B0C1-4F23-8446-43F7D2B84652}" name="PivotTable13" cacheId="1805" applyNumberFormats="0" applyBorderFormats="0" applyFontFormats="0" applyPatternFormats="0" applyAlignmentFormats="0" applyWidthHeightFormats="1" dataCaption="Values" tag="a660eb6f-8804-4a44-80a1-e363afdeb103" updatedVersion="8" minRefreshableVersion="3" useAutoFormatting="1" subtotalHiddenItems="1" itemPrintTitles="1" createdVersion="8" indent="0" outline="1" outlineData="1" multipleFieldFilters="0">
  <location ref="A43:B4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i>
    <i>
      <x v="4"/>
    </i>
    <i>
      <x v="3"/>
    </i>
    <i>
      <x v="2"/>
    </i>
    <i>
      <x v="1"/>
    </i>
    <i t="grand">
      <x/>
    </i>
  </rowItems>
  <colItems count="1">
    <i/>
  </colItems>
  <dataFields count="1">
    <dataField name="Count of Supplier" fld="2" subtotal="count" baseField="0" baseItem="0"/>
  </dataFields>
  <formats count="1">
    <format dxfId="1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Supplier"/>
    <pivotHierarchy dragToData="1" caption="Distinct Count of Supplier"/>
    <pivotHierarchy dragToData="1"/>
    <pivotHierarchy dragToData="1"/>
  </pivotHierarchies>
  <pivotTableStyleInfo name="PivotStyleLight16" showRowHeaders="1" showColHeaders="1" showRowStripes="0" showColStripes="0" showLastColumn="1"/>
  <filters count="2">
    <filter fld="0" type="count" id="1" iMeasureHier="24">
      <autoFilter ref="A1">
        <filterColumn colId="0">
          <top10 val="10" filterVal="10"/>
        </filterColumn>
      </autoFilter>
    </filter>
    <filter fld="1" type="count" id="2" iMeasureHier="30">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CE29717-EDDA-4870-B001-960C14F674BA}" name="PivotTable14" cacheId="1808" applyNumberFormats="0" applyBorderFormats="0" applyFontFormats="0" applyPatternFormats="0" applyAlignmentFormats="0" applyWidthHeightFormats="1" dataCaption="Values" tag="0e46e4ea-fe74-4f2a-ac2f-a85a5572dd94" updatedVersion="8" minRefreshableVersion="3" useAutoFormatting="1" subtotalHiddenItems="1" itemPrintTitles="1" createdVersion="8" indent="0" outline="1" outlineData="1" multipleFieldFilters="0" chartFormat="1">
  <location ref="Q2:R8" firstHeaderRow="1" firstDataRow="1" firstDataCol="1"/>
  <pivotFields count="4">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i>
    <i>
      <x v="4"/>
    </i>
    <i>
      <x v="3"/>
    </i>
    <i>
      <x v="2"/>
    </i>
    <i>
      <x v="1"/>
    </i>
    <i t="grand">
      <x/>
    </i>
  </rowItems>
  <colItems count="1">
    <i/>
  </colItems>
  <dataFields count="1">
    <dataField name="Sum of Quantity" fld="1" baseField="0" baseItem="0"/>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4" iMeasureHier="22">
      <autoFilter ref="A1">
        <filterColumn colId="0">
          <top10 top="0" val="5" filterVal="5"/>
        </filterColumn>
      </autoFilter>
    </filter>
    <filter fld="2" type="count" id="5" iMeasureHier="28">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2AF738-61FE-42C8-816A-A145B7D13BB7}" name="PivotTable12" cacheId="1802" applyNumberFormats="0" applyBorderFormats="0" applyFontFormats="0" applyPatternFormats="0" applyAlignmentFormats="0" applyWidthHeightFormats="1" dataCaption="Values" tag="1fb56e19-c732-49ca-b631-fd6ee9cb2f6a" updatedVersion="8" minRefreshableVersion="3" useAutoFormatting="1" subtotalHiddenItems="1" itemPrintTitles="1" createdVersion="8" indent="0" outline="1" outlineData="1" multipleFieldFilters="0" chartFormat="1">
  <location ref="H46:I52"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2"/>
    </i>
    <i>
      <x v="4"/>
    </i>
    <i t="grand">
      <x/>
    </i>
  </rowItems>
  <colItems count="1">
    <i/>
  </colItems>
  <dataFields count="1">
    <dataField fld="1" subtotal="count" baseField="0" baseItem="0"/>
  </dataFields>
  <formats count="1">
    <format dxfId="1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23">
      <autoFilter ref="A1">
        <filterColumn colId="0">
          <top10 top="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1648597-0988-45A7-A89C-781A7D53ED96}" name="PivotTable7" cacheId="1835" applyNumberFormats="0" applyBorderFormats="0" applyFontFormats="0" applyPatternFormats="0" applyAlignmentFormats="0" applyWidthHeightFormats="1" dataCaption="Values" tag="67bad148-4183-4fc2-850b-4b9a32c1dd70" updatedVersion="8" minRefreshableVersion="3" useAutoFormatting="1" subtotalHiddenItems="1" itemPrintTitles="1" createdVersion="8" indent="0" outline="1" outlineData="1" multipleFieldFilters="0" chartFormat="1">
  <location ref="A27:B33"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4"/>
    </i>
    <i>
      <x v="1"/>
    </i>
    <i>
      <x/>
    </i>
    <i>
      <x v="2"/>
    </i>
    <i t="grand">
      <x/>
    </i>
  </rowItems>
  <colItems count="1">
    <i/>
  </colItems>
  <dataFields count="1">
    <dataField fld="1" subtotal="count" baseField="0" baseItem="0" numFmtId="164"/>
  </dataFields>
  <formats count="1">
    <format dxfId="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curement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509D714-A140-4AFC-9421-217C4E3C1B25}" autoFormatId="16" applyNumberFormats="0" applyBorderFormats="0" applyFontFormats="0" applyPatternFormats="0" applyAlignmentFormats="0" applyWidthHeightFormats="0">
  <queryTableRefresh nextId="6">
    <queryTableFields count="5">
      <queryTableField id="1" name="Date Delivered" tableColumnId="1"/>
      <queryTableField id="2" name="Day name" tableColumnId="2"/>
      <queryTableField id="3" name="Day num" tableColumnId="3"/>
      <queryTableField id="4" name="Month Name" tableColumnId="4"/>
      <queryTableField id="5" name="Month Num"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C6B78F9-3D2B-4565-A2E9-57F8574D6F3D}" autoFormatId="16" applyNumberFormats="0" applyBorderFormats="0" applyFontFormats="0" applyPatternFormats="0" applyAlignmentFormats="0" applyWidthHeightFormats="0">
  <queryTableRefresh nextId="18">
    <queryTableFields count="14">
      <queryTableField id="1" name=" Serial No " tableColumnId="1"/>
      <queryTableField id="2" name=" Hospital        " tableColumnId="2"/>
      <queryTableField id="3" name=" State   " tableColumnId="3"/>
      <queryTableField id="5" name=" Department     " tableColumnId="5"/>
      <queryTableField id="6" name=" Equipment     " tableColumnId="6"/>
      <queryTableField id="7" name=" Quantity " tableColumnId="7"/>
      <queryTableField id="8" name=" Unit Price (USD) " tableColumnId="8"/>
      <queryTableField id="9" name=" Supplier       " tableColumnId="9"/>
      <queryTableField id="11" name=" Supplier Country " tableColumnId="11"/>
      <queryTableField id="12" name=" Date Ordered " tableColumnId="12"/>
      <queryTableField id="13" name=" Date Delivered " tableColumnId="13"/>
      <queryTableField id="15" name=" Maintenance Cost (USD/year) " tableColumnId="15"/>
      <queryTableField id="16" name=" Installation Cost (USD) " tableColumnId="16"/>
      <queryTableField id="17" name=" Equipment Condition "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13DC607-7E56-41F8-A9B0-D58C557EB669}" sourceName="[Procurement_Data].[Department]">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 tabId="4" name="PivotTable20"/>
  </pivotTables>
  <data>
    <olap pivotCacheId="87865278">
      <levels count="2">
        <level uniqueName="[Procurement_Data].[Department].[(All)]" sourceCaption="(All)" count="0"/>
        <level uniqueName="[Procurement_Data].[Department].[Department]" sourceCaption="Department" count="21">
          <ranges>
            <range startItem="0">
              <i n="[Procurement_Data].[Department].&amp;[Cardiology]" c="Cardiology"/>
              <i n="[Procurement_Data].[Department].&amp;[Dermatology]" c="Dermatology"/>
              <i n="[Procurement_Data].[Department].&amp;[Emergency Care]" c="Emergency Care"/>
              <i n="[Procurement_Data].[Department].&amp;[ENT]" c="ENT"/>
              <i n="[Procurement_Data].[Department].&amp;[Gastroenterology]" c="Gastroenterology"/>
              <i n="[Procurement_Data].[Department].&amp;[Gynecology]" c="Gynecology"/>
              <i n="[Procurement_Data].[Department].&amp;[Hematology]" c="Hematology"/>
              <i n="[Procurement_Data].[Department].&amp;[Nephrology]" c="Nephrology"/>
              <i n="[Procurement_Data].[Department].&amp;[Neurology]" c="Neurology"/>
              <i n="[Procurement_Data].[Department].&amp;[Neurosurgery]" c="Neurosurgery"/>
              <i n="[Procurement_Data].[Department].&amp;[Obstetrics]" c="Obstetrics"/>
              <i n="[Procurement_Data].[Department].&amp;[Oncology]" c="Oncology"/>
              <i n="[Procurement_Data].[Department].&amp;[Ophthalmology]" c="Ophthalmology"/>
              <i n="[Procurement_Data].[Department].&amp;[Orthopedics]" c="Orthopedics"/>
              <i n="[Procurement_Data].[Department].&amp;[Pediatrics]" c="Pediatrics"/>
              <i n="[Procurement_Data].[Department].&amp;[Psychiatry]" c="Psychiatry"/>
              <i n="[Procurement_Data].[Department].&amp;[Pulmonology]" c="Pulmonology"/>
              <i n="[Procurement_Data].[Department].&amp;[Radiology]" c="Radiology"/>
              <i n="[Procurement_Data].[Department].&amp;[Rheumatology]" c="Rheumatology"/>
              <i n="[Procurement_Data].[Department].&amp;[Surgery]" c="Surgery"/>
              <i n="[Procurement_Data].[Department].&amp;[Urology]" c="Urology"/>
            </range>
          </ranges>
        </level>
      </levels>
      <selections count="1">
        <selection n="[Procurement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7DE62F0-E9FA-4587-BE5E-754B41BA8C31}" sourceName="[Procurement_Data].[State]">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16"/>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8"/>
    <pivotTable tabId="4" name="PivotTable20"/>
  </pivotTables>
  <data>
    <olap pivotCacheId="87865278">
      <levels count="2">
        <level uniqueName="[Procurement_Data].[State].[(All)]" sourceCaption="(All)" count="0"/>
        <level uniqueName="[Procurement_Data].[State].[State]" sourceCaption="State" count="35">
          <ranges>
            <range startItem="0">
              <i n="[Procurement_Data].[State].&amp;[Abia]" c="Abia"/>
              <i n="[Procurement_Data].[State].&amp;[Abuja]" c="Abuja"/>
              <i n="[Procurement_Data].[State].&amp;[Adamawa]" c="Adamawa"/>
              <i n="[Procurement_Data].[State].&amp;[Akwa Ibom]" c="Akwa Ibom"/>
              <i n="[Procurement_Data].[State].&amp;[Anambra]" c="Anambra"/>
              <i n="[Procurement_Data].[State].&amp;[Bauchi]" c="Bauchi"/>
              <i n="[Procurement_Data].[State].&amp;[Bayelsa]" c="Bayelsa"/>
              <i n="[Procurement_Data].[State].&amp;[Benue]" c="Benue"/>
              <i n="[Procurement_Data].[State].&amp;[Borno]" c="Borno"/>
              <i n="[Procurement_Data].[State].&amp;[Cross River]" c="Cross River"/>
              <i n="[Procurement_Data].[State].&amp;[Delta]" c="Delta"/>
              <i n="[Procurement_Data].[State].&amp;[Ebonyi]" c="Ebonyi"/>
              <i n="[Procurement_Data].[State].&amp;[Edo]" c="Edo"/>
              <i n="[Procurement_Data].[State].&amp;[Ekiti]" c="Ekiti"/>
              <i n="[Procurement_Data].[State].&amp;[Enugu]" c="Enugu"/>
              <i n="[Procurement_Data].[State].&amp;[Gombe]" c="Gombe"/>
              <i n="[Procurement_Data].[State].&amp;[Imo]" c="Imo"/>
              <i n="[Procurement_Data].[State].&amp;[Jigawa]" c="Jigawa"/>
              <i n="[Procurement_Data].[State].&amp;[Kaduna]" c="Kaduna"/>
              <i n="[Procurement_Data].[State].&amp;[Kano]" c="Kano"/>
              <i n="[Procurement_Data].[State].&amp;[Kogi]" c="Kogi"/>
              <i n="[Procurement_Data].[State].&amp;[Kwara]" c="Kwara"/>
              <i n="[Procurement_Data].[State].&amp;[Lagos]" c="Lagos"/>
              <i n="[Procurement_Data].[State].&amp;[Nasarawa]" c="Nasarawa"/>
              <i n="[Procurement_Data].[State].&amp;[Niger]" c="Niger"/>
              <i n="[Procurement_Data].[State].&amp;[Ogun]" c="Ogun"/>
              <i n="[Procurement_Data].[State].&amp;[Ondo]" c="Ondo"/>
              <i n="[Procurement_Data].[State].&amp;[Osun]" c="Osun"/>
              <i n="[Procurement_Data].[State].&amp;[Oyo]" c="Oyo"/>
              <i n="[Procurement_Data].[State].&amp;[Plateau]" c="Plateau"/>
              <i n="[Procurement_Data].[State].&amp;[Rivers]" c="Rivers"/>
              <i n="[Procurement_Data].[State].&amp;[Sokoto]" c="Sokoto"/>
              <i n="[Procurement_Data].[State].&amp;[Taraba]" c="Taraba"/>
              <i n="[Procurement_Data].[State].&amp;[Yobe]" c="Yobe"/>
              <i n="[Procurement_Data].[State].&amp;[Zamfara]" c="Zamfara"/>
            </range>
          </ranges>
        </level>
      </levels>
      <selections count="1">
        <selection n="[Procurement_Data].[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CB7D4A9-F45B-4EF0-A8B1-D44DF2CF47BC}" cache="Slicer_Department" caption="Department" columnCount="2" level="1" style="Slicer Style 1" rowHeight="257175"/>
  <slicer name="State" xr10:uid="{BCB2AA5B-7F0C-48AF-8890-97C43DA8945C}" cache="Slicer_State" caption="State" columnCount="3"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B6B5E-0AC7-4E05-9858-5579E8AF51A1}" name="Date" displayName="Date" ref="A1:E20" tableType="queryTable" totalsRowShown="0">
  <autoFilter ref="A1:E20" xr:uid="{22EB6B5E-0AC7-4E05-9858-5579E8AF51A1}"/>
  <tableColumns count="5">
    <tableColumn id="1" xr3:uid="{A39495F3-6D8B-4CE1-A144-F50E251E38C2}" uniqueName="1" name="Date Delivered" queryTableFieldId="1" dataDxfId="26"/>
    <tableColumn id="2" xr3:uid="{7BE14928-683A-40FC-9885-76B9A36D4939}" uniqueName="2" name="Day name" queryTableFieldId="2" dataDxfId="25"/>
    <tableColumn id="3" xr3:uid="{0E1EADAC-A46D-4C3D-917F-517B5AAC0BEE}" uniqueName="3" name="Day num" queryTableFieldId="3"/>
    <tableColumn id="4" xr3:uid="{8D107A94-D297-4073-9EEE-2D24D3775DF1}" uniqueName="4" name="Month Name" queryTableFieldId="4" dataDxfId="24"/>
    <tableColumn id="5" xr3:uid="{6E5AE4FC-7B9E-4CD0-B81B-0091E6DDC20D}" uniqueName="5" name="Month Num" queryTableFieldId="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963537-0429-4AB1-9981-A91794BEE9E4}" name="Procurement_Data" displayName="Procurement_Data" ref="A1:N261" tableType="queryTable" totalsRowShown="0">
  <autoFilter ref="A1:N261" xr:uid="{29963537-0429-4AB1-9981-A91794BEE9E4}"/>
  <tableColumns count="14">
    <tableColumn id="1" xr3:uid="{58BFF986-1125-44FC-BD6F-0E78DDD07A4F}" uniqueName="1" name=" Serial No " queryTableFieldId="1"/>
    <tableColumn id="2" xr3:uid="{2016832A-D0FE-4B69-B90E-2E7FEEC90F98}" uniqueName="2" name=" Hospital        " queryTableFieldId="2" dataDxfId="23"/>
    <tableColumn id="3" xr3:uid="{99B31962-0D15-46C1-91A4-95626739669A}" uniqueName="3" name=" State   " queryTableFieldId="3" dataDxfId="22"/>
    <tableColumn id="5" xr3:uid="{D1FD69C4-7AEF-4E24-8E3F-42942847E773}" uniqueName="5" name=" Department     " queryTableFieldId="5" dataDxfId="21"/>
    <tableColumn id="6" xr3:uid="{A6B6635F-74FC-4B2A-96EE-4452FE941DBA}" uniqueName="6" name=" Equipment     " queryTableFieldId="6" dataDxfId="20"/>
    <tableColumn id="7" xr3:uid="{CDC0ED67-4C2A-408A-B8ED-54A06C024C66}" uniqueName="7" name=" Quantity " queryTableFieldId="7"/>
    <tableColumn id="8" xr3:uid="{4DF05F01-360D-4581-B43A-D929B6FCCB12}" uniqueName="8" name=" Unit Price (USD) " queryTableFieldId="8"/>
    <tableColumn id="9" xr3:uid="{C1873694-73DF-48CF-B0CE-08546D1F1E34}" uniqueName="9" name=" Supplier       " queryTableFieldId="9" dataDxfId="19"/>
    <tableColumn id="11" xr3:uid="{B1D2E420-403F-4CD6-8E20-D28483416E0C}" uniqueName="11" name=" Supplier Country " queryTableFieldId="11" dataDxfId="18"/>
    <tableColumn id="12" xr3:uid="{D7B46C4D-4D67-4F9A-80ED-B5F0AC32B3AA}" uniqueName="12" name=" Date Ordered " queryTableFieldId="12" dataDxfId="17"/>
    <tableColumn id="13" xr3:uid="{F6F3EB20-EDE6-48B9-9E3A-C3B5E17E7BE1}" uniqueName="13" name=" Date Delivered " queryTableFieldId="13" dataDxfId="16"/>
    <tableColumn id="15" xr3:uid="{6F733D58-61FC-44EF-AA69-DC1561928594}" uniqueName="15" name=" Maintenance Cost (USD/year) " queryTableFieldId="15"/>
    <tableColumn id="16" xr3:uid="{2F53A45D-F900-4F18-9396-D5F15E386681}" uniqueName="16" name=" Installation Cost (USD) " queryTableFieldId="16"/>
    <tableColumn id="17" xr3:uid="{8199DAEB-B72C-4930-9864-704708688858}" uniqueName="17" name=" Equipment Condition " queryTableFieldId="17"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34201-774E-4F42-A3E6-D250B2035722}">
  <sheetPr>
    <tabColor rgb="FFC00000"/>
  </sheetPr>
  <dimension ref="A1:E20"/>
  <sheetViews>
    <sheetView workbookViewId="0"/>
  </sheetViews>
  <sheetFormatPr defaultRowHeight="15" x14ac:dyDescent="0.25"/>
  <cols>
    <col min="1" max="1" width="17" bestFit="1" customWidth="1"/>
    <col min="2" max="2" width="12.140625" bestFit="1" customWidth="1"/>
    <col min="3" max="3" width="11.140625" bestFit="1" customWidth="1"/>
    <col min="4" max="4" width="14.7109375" bestFit="1" customWidth="1"/>
    <col min="5" max="5" width="13.7109375" bestFit="1" customWidth="1"/>
  </cols>
  <sheetData>
    <row r="1" spans="1:5" x14ac:dyDescent="0.25">
      <c r="A1" t="s">
        <v>286</v>
      </c>
      <c r="B1" t="s">
        <v>287</v>
      </c>
      <c r="C1" t="s">
        <v>288</v>
      </c>
      <c r="D1" t="s">
        <v>289</v>
      </c>
      <c r="E1" t="s">
        <v>290</v>
      </c>
    </row>
    <row r="2" spans="1:5" x14ac:dyDescent="0.25">
      <c r="A2" s="2">
        <v>45392</v>
      </c>
      <c r="B2" s="1" t="s">
        <v>291</v>
      </c>
      <c r="C2">
        <v>10</v>
      </c>
      <c r="D2" s="1" t="s">
        <v>292</v>
      </c>
      <c r="E2">
        <v>4</v>
      </c>
    </row>
    <row r="3" spans="1:5" x14ac:dyDescent="0.25">
      <c r="A3" s="2">
        <v>45369</v>
      </c>
      <c r="B3" s="1" t="s">
        <v>293</v>
      </c>
      <c r="C3">
        <v>18</v>
      </c>
      <c r="D3" s="1" t="s">
        <v>294</v>
      </c>
      <c r="E3">
        <v>3</v>
      </c>
    </row>
    <row r="4" spans="1:5" x14ac:dyDescent="0.25">
      <c r="A4" s="2">
        <v>45327</v>
      </c>
      <c r="B4" s="1" t="s">
        <v>293</v>
      </c>
      <c r="C4">
        <v>5</v>
      </c>
      <c r="D4" s="1" t="s">
        <v>295</v>
      </c>
      <c r="E4">
        <v>2</v>
      </c>
    </row>
    <row r="5" spans="1:5" x14ac:dyDescent="0.25">
      <c r="A5" s="2">
        <v>45407</v>
      </c>
      <c r="B5" s="1" t="s">
        <v>296</v>
      </c>
      <c r="C5">
        <v>25</v>
      </c>
      <c r="D5" s="1" t="s">
        <v>292</v>
      </c>
      <c r="E5">
        <v>4</v>
      </c>
    </row>
    <row r="6" spans="1:5" x14ac:dyDescent="0.25">
      <c r="A6" s="2">
        <v>45379</v>
      </c>
      <c r="B6" s="1" t="s">
        <v>296</v>
      </c>
      <c r="C6">
        <v>28</v>
      </c>
      <c r="D6" s="1" t="s">
        <v>294</v>
      </c>
      <c r="E6">
        <v>3</v>
      </c>
    </row>
    <row r="7" spans="1:5" x14ac:dyDescent="0.25">
      <c r="A7" s="2">
        <v>45417</v>
      </c>
      <c r="B7" s="1" t="s">
        <v>297</v>
      </c>
      <c r="C7">
        <v>5</v>
      </c>
      <c r="D7" s="1" t="s">
        <v>298</v>
      </c>
      <c r="E7">
        <v>5</v>
      </c>
    </row>
    <row r="8" spans="1:5" x14ac:dyDescent="0.25">
      <c r="A8" s="2">
        <v>45376</v>
      </c>
      <c r="B8" s="1" t="s">
        <v>293</v>
      </c>
      <c r="C8">
        <v>25</v>
      </c>
      <c r="D8" s="1" t="s">
        <v>294</v>
      </c>
      <c r="E8">
        <v>3</v>
      </c>
    </row>
    <row r="9" spans="1:5" x14ac:dyDescent="0.25">
      <c r="A9" s="2">
        <v>45397</v>
      </c>
      <c r="B9" s="1" t="s">
        <v>293</v>
      </c>
      <c r="C9">
        <v>15</v>
      </c>
      <c r="D9" s="1" t="s">
        <v>292</v>
      </c>
      <c r="E9">
        <v>4</v>
      </c>
    </row>
    <row r="10" spans="1:5" x14ac:dyDescent="0.25">
      <c r="A10" s="2">
        <v>45342</v>
      </c>
      <c r="B10" s="1" t="s">
        <v>299</v>
      </c>
      <c r="C10">
        <v>20</v>
      </c>
      <c r="D10" s="1" t="s">
        <v>295</v>
      </c>
      <c r="E10">
        <v>2</v>
      </c>
    </row>
    <row r="11" spans="1:5" x14ac:dyDescent="0.25">
      <c r="A11" s="2">
        <v>45412</v>
      </c>
      <c r="B11" s="1" t="s">
        <v>299</v>
      </c>
      <c r="C11">
        <v>30</v>
      </c>
      <c r="D11" s="1" t="s">
        <v>292</v>
      </c>
      <c r="E11">
        <v>4</v>
      </c>
    </row>
    <row r="12" spans="1:5" x14ac:dyDescent="0.25">
      <c r="A12" s="2">
        <v>45387</v>
      </c>
      <c r="B12" s="1" t="s">
        <v>300</v>
      </c>
      <c r="C12">
        <v>5</v>
      </c>
      <c r="D12" s="1" t="s">
        <v>292</v>
      </c>
      <c r="E12">
        <v>4</v>
      </c>
    </row>
    <row r="13" spans="1:5" x14ac:dyDescent="0.25">
      <c r="A13" s="2">
        <v>45361</v>
      </c>
      <c r="B13" s="1" t="s">
        <v>297</v>
      </c>
      <c r="C13">
        <v>10</v>
      </c>
      <c r="D13" s="1" t="s">
        <v>294</v>
      </c>
      <c r="E13">
        <v>3</v>
      </c>
    </row>
    <row r="14" spans="1:5" x14ac:dyDescent="0.25">
      <c r="A14" s="2">
        <v>45337</v>
      </c>
      <c r="B14" s="1" t="s">
        <v>296</v>
      </c>
      <c r="C14">
        <v>15</v>
      </c>
      <c r="D14" s="1" t="s">
        <v>295</v>
      </c>
      <c r="E14">
        <v>2</v>
      </c>
    </row>
    <row r="15" spans="1:5" x14ac:dyDescent="0.25">
      <c r="A15" s="2">
        <v>45404</v>
      </c>
      <c r="B15" s="1" t="s">
        <v>293</v>
      </c>
      <c r="C15">
        <v>22</v>
      </c>
      <c r="D15" s="1" t="s">
        <v>292</v>
      </c>
      <c r="E15">
        <v>4</v>
      </c>
    </row>
    <row r="16" spans="1:5" x14ac:dyDescent="0.25">
      <c r="A16" s="2">
        <v>45352</v>
      </c>
      <c r="B16" s="1" t="s">
        <v>300</v>
      </c>
      <c r="C16">
        <v>1</v>
      </c>
      <c r="D16" s="1" t="s">
        <v>294</v>
      </c>
      <c r="E16">
        <v>3</v>
      </c>
    </row>
    <row r="17" spans="1:5" x14ac:dyDescent="0.25">
      <c r="A17" s="2">
        <v>45427</v>
      </c>
      <c r="B17" s="1" t="s">
        <v>291</v>
      </c>
      <c r="C17">
        <v>15</v>
      </c>
      <c r="D17" s="1" t="s">
        <v>298</v>
      </c>
      <c r="E17">
        <v>5</v>
      </c>
    </row>
    <row r="18" spans="1:5" x14ac:dyDescent="0.25">
      <c r="A18" s="2">
        <v>45381</v>
      </c>
      <c r="B18" s="1" t="s">
        <v>301</v>
      </c>
      <c r="C18">
        <v>30</v>
      </c>
      <c r="D18" s="1" t="s">
        <v>294</v>
      </c>
      <c r="E18">
        <v>3</v>
      </c>
    </row>
    <row r="19" spans="1:5" x14ac:dyDescent="0.25">
      <c r="A19" s="2">
        <v>45356</v>
      </c>
      <c r="B19" s="1" t="s">
        <v>299</v>
      </c>
      <c r="C19">
        <v>5</v>
      </c>
      <c r="D19" s="1" t="s">
        <v>294</v>
      </c>
      <c r="E19">
        <v>3</v>
      </c>
    </row>
    <row r="20" spans="1:5" x14ac:dyDescent="0.25">
      <c r="A20" s="2">
        <v>45394</v>
      </c>
      <c r="B20" s="1" t="s">
        <v>300</v>
      </c>
      <c r="C20">
        <v>12</v>
      </c>
      <c r="D20" s="1" t="s">
        <v>292</v>
      </c>
      <c r="E20">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B8AF-C360-4BB4-91BD-30D48BBB94E5}">
  <dimension ref="B3:D20"/>
  <sheetViews>
    <sheetView workbookViewId="0">
      <selection activeCell="C5" sqref="C5"/>
    </sheetView>
  </sheetViews>
  <sheetFormatPr defaultRowHeight="15" x14ac:dyDescent="0.25"/>
  <sheetData>
    <row r="3" spans="2:4" x14ac:dyDescent="0.25">
      <c r="B3" s="13"/>
      <c r="C3" s="14"/>
      <c r="D3" s="15"/>
    </row>
    <row r="4" spans="2:4" x14ac:dyDescent="0.25">
      <c r="B4" s="16"/>
      <c r="C4" s="17"/>
      <c r="D4" s="18"/>
    </row>
    <row r="5" spans="2:4" x14ac:dyDescent="0.25">
      <c r="B5" s="16"/>
      <c r="C5" s="17"/>
      <c r="D5" s="18"/>
    </row>
    <row r="6" spans="2:4" x14ac:dyDescent="0.25">
      <c r="B6" s="16"/>
      <c r="C6" s="17"/>
      <c r="D6" s="18"/>
    </row>
    <row r="7" spans="2:4" x14ac:dyDescent="0.25">
      <c r="B7" s="16"/>
      <c r="C7" s="17"/>
      <c r="D7" s="18"/>
    </row>
    <row r="8" spans="2:4" x14ac:dyDescent="0.25">
      <c r="B8" s="16"/>
      <c r="C8" s="17"/>
      <c r="D8" s="18"/>
    </row>
    <row r="9" spans="2:4" x14ac:dyDescent="0.25">
      <c r="B9" s="16"/>
      <c r="C9" s="17"/>
      <c r="D9" s="18"/>
    </row>
    <row r="10" spans="2:4" x14ac:dyDescent="0.25">
      <c r="B10" s="16"/>
      <c r="C10" s="17"/>
      <c r="D10" s="18"/>
    </row>
    <row r="11" spans="2:4" x14ac:dyDescent="0.25">
      <c r="B11" s="16"/>
      <c r="C11" s="17"/>
      <c r="D11" s="18"/>
    </row>
    <row r="12" spans="2:4" x14ac:dyDescent="0.25">
      <c r="B12" s="16"/>
      <c r="C12" s="17"/>
      <c r="D12" s="18"/>
    </row>
    <row r="13" spans="2:4" x14ac:dyDescent="0.25">
      <c r="B13" s="16"/>
      <c r="C13" s="17"/>
      <c r="D13" s="18"/>
    </row>
    <row r="14" spans="2:4" x14ac:dyDescent="0.25">
      <c r="B14" s="16"/>
      <c r="C14" s="17"/>
      <c r="D14" s="18"/>
    </row>
    <row r="15" spans="2:4" x14ac:dyDescent="0.25">
      <c r="B15" s="16"/>
      <c r="C15" s="17"/>
      <c r="D15" s="18"/>
    </row>
    <row r="16" spans="2:4" x14ac:dyDescent="0.25">
      <c r="B16" s="16"/>
      <c r="C16" s="17"/>
      <c r="D16" s="18"/>
    </row>
    <row r="17" spans="2:4" x14ac:dyDescent="0.25">
      <c r="B17" s="16"/>
      <c r="C17" s="17"/>
      <c r="D17" s="18"/>
    </row>
    <row r="18" spans="2:4" x14ac:dyDescent="0.25">
      <c r="B18" s="16"/>
      <c r="C18" s="17"/>
      <c r="D18" s="18"/>
    </row>
    <row r="19" spans="2:4" x14ac:dyDescent="0.25">
      <c r="B19" s="16"/>
      <c r="C19" s="17"/>
      <c r="D19" s="18"/>
    </row>
    <row r="20" spans="2:4" x14ac:dyDescent="0.25">
      <c r="B20" s="19"/>
      <c r="C20" s="20"/>
      <c r="D20" s="2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AAC7-C380-43F0-A26F-634B1AF0E378}">
  <sheetPr>
    <tabColor rgb="FFFFC000"/>
  </sheetPr>
  <dimension ref="A1:N261"/>
  <sheetViews>
    <sheetView workbookViewId="0">
      <selection activeCell="G14" sqref="G14"/>
    </sheetView>
  </sheetViews>
  <sheetFormatPr defaultRowHeight="15" x14ac:dyDescent="0.25"/>
  <cols>
    <col min="1" max="1" width="12.28515625" bestFit="1" customWidth="1"/>
    <col min="2" max="2" width="29.85546875" bestFit="1" customWidth="1"/>
    <col min="3" max="3" width="10.7109375" bestFit="1" customWidth="1"/>
    <col min="4" max="4" width="16.85546875" bestFit="1" customWidth="1"/>
    <col min="5" max="5" width="23.5703125" bestFit="1" customWidth="1"/>
    <col min="6" max="6" width="11.85546875" bestFit="1" customWidth="1"/>
    <col min="7" max="7" width="18.7109375" bestFit="1" customWidth="1"/>
    <col min="8" max="8" width="14.28515625" bestFit="1" customWidth="1"/>
    <col min="9" max="9" width="19.7109375" bestFit="1" customWidth="1"/>
    <col min="10" max="10" width="16.42578125" bestFit="1" customWidth="1"/>
    <col min="11" max="11" width="17.85546875" bestFit="1" customWidth="1"/>
    <col min="12" max="12" width="31.28515625" bestFit="1" customWidth="1"/>
    <col min="13" max="13" width="25.140625" bestFit="1" customWidth="1"/>
    <col min="14" max="14" width="23.85546875" bestFit="1" customWidth="1"/>
    <col min="15" max="15" width="31.28515625" bestFit="1" customWidth="1"/>
    <col min="16" max="16" width="25.140625" bestFit="1" customWidth="1"/>
    <col min="17" max="17" width="23.85546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s="1" t="s">
        <v>14</v>
      </c>
      <c r="C2" s="1" t="s">
        <v>15</v>
      </c>
      <c r="D2" s="1" t="s">
        <v>16</v>
      </c>
      <c r="E2" s="1" t="s">
        <v>17</v>
      </c>
      <c r="F2">
        <v>2</v>
      </c>
      <c r="G2">
        <v>5000</v>
      </c>
      <c r="H2" s="1" t="s">
        <v>18</v>
      </c>
      <c r="I2" s="1" t="s">
        <v>19</v>
      </c>
      <c r="J2" s="2">
        <v>45366</v>
      </c>
      <c r="K2" s="2">
        <v>45392</v>
      </c>
      <c r="L2">
        <v>1000</v>
      </c>
      <c r="M2">
        <v>500</v>
      </c>
      <c r="N2" s="1" t="s">
        <v>20</v>
      </c>
    </row>
    <row r="3" spans="1:14" x14ac:dyDescent="0.25">
      <c r="A3">
        <v>2</v>
      </c>
      <c r="B3" s="1" t="s">
        <v>21</v>
      </c>
      <c r="C3" s="1" t="s">
        <v>22</v>
      </c>
      <c r="D3" s="1" t="s">
        <v>23</v>
      </c>
      <c r="E3" s="1" t="s">
        <v>24</v>
      </c>
      <c r="F3">
        <v>1</v>
      </c>
      <c r="G3">
        <v>15000</v>
      </c>
      <c r="H3" s="1" t="s">
        <v>25</v>
      </c>
      <c r="I3" s="1" t="s">
        <v>26</v>
      </c>
      <c r="J3" s="2">
        <v>45342</v>
      </c>
      <c r="K3" s="2">
        <v>45369</v>
      </c>
      <c r="L3">
        <v>2000</v>
      </c>
      <c r="M3">
        <v>1000</v>
      </c>
      <c r="N3" s="1" t="s">
        <v>20</v>
      </c>
    </row>
    <row r="4" spans="1:14" x14ac:dyDescent="0.25">
      <c r="A4">
        <v>3</v>
      </c>
      <c r="B4" s="1" t="s">
        <v>27</v>
      </c>
      <c r="C4" s="1" t="s">
        <v>28</v>
      </c>
      <c r="D4" s="1" t="s">
        <v>29</v>
      </c>
      <c r="E4" s="1" t="s">
        <v>30</v>
      </c>
      <c r="F4">
        <v>5</v>
      </c>
      <c r="G4">
        <v>300</v>
      </c>
      <c r="H4" s="1" t="s">
        <v>31</v>
      </c>
      <c r="I4" s="1" t="s">
        <v>32</v>
      </c>
      <c r="J4" s="2">
        <v>45301</v>
      </c>
      <c r="K4" s="2">
        <v>45327</v>
      </c>
      <c r="L4">
        <v>500</v>
      </c>
      <c r="M4">
        <v>200</v>
      </c>
      <c r="N4" s="1" t="s">
        <v>33</v>
      </c>
    </row>
    <row r="5" spans="1:14" x14ac:dyDescent="0.25">
      <c r="A5">
        <v>4</v>
      </c>
      <c r="B5" s="1" t="s">
        <v>34</v>
      </c>
      <c r="C5" s="1" t="s">
        <v>35</v>
      </c>
      <c r="D5" s="1" t="s">
        <v>36</v>
      </c>
      <c r="E5" s="1" t="s">
        <v>37</v>
      </c>
      <c r="F5">
        <v>3</v>
      </c>
      <c r="G5">
        <v>10000</v>
      </c>
      <c r="H5" s="1" t="s">
        <v>38</v>
      </c>
      <c r="I5" s="1" t="s">
        <v>39</v>
      </c>
      <c r="J5" s="2">
        <v>45384</v>
      </c>
      <c r="K5" s="2">
        <v>45407</v>
      </c>
      <c r="L5">
        <v>1500</v>
      </c>
      <c r="M5">
        <v>800</v>
      </c>
      <c r="N5" s="1" t="s">
        <v>40</v>
      </c>
    </row>
    <row r="6" spans="1:14" x14ac:dyDescent="0.25">
      <c r="A6">
        <v>5</v>
      </c>
      <c r="B6" s="1" t="s">
        <v>41</v>
      </c>
      <c r="C6" s="1" t="s">
        <v>42</v>
      </c>
      <c r="D6" s="1" t="s">
        <v>43</v>
      </c>
      <c r="E6" s="1" t="s">
        <v>44</v>
      </c>
      <c r="F6">
        <v>1</v>
      </c>
      <c r="G6">
        <v>8000</v>
      </c>
      <c r="H6" s="1" t="s">
        <v>45</v>
      </c>
      <c r="I6" s="1" t="s">
        <v>46</v>
      </c>
      <c r="J6" s="2">
        <v>45356</v>
      </c>
      <c r="K6" s="2">
        <v>45379</v>
      </c>
      <c r="L6">
        <v>1200</v>
      </c>
      <c r="M6">
        <v>600</v>
      </c>
      <c r="N6" s="1" t="s">
        <v>20</v>
      </c>
    </row>
    <row r="7" spans="1:14" x14ac:dyDescent="0.25">
      <c r="A7">
        <v>6</v>
      </c>
      <c r="B7" s="1" t="s">
        <v>47</v>
      </c>
      <c r="C7" s="1" t="s">
        <v>48</v>
      </c>
      <c r="D7" s="1" t="s">
        <v>49</v>
      </c>
      <c r="E7" s="1" t="s">
        <v>50</v>
      </c>
      <c r="F7">
        <v>1</v>
      </c>
      <c r="G7">
        <v>200000</v>
      </c>
      <c r="H7" s="1" t="s">
        <v>51</v>
      </c>
      <c r="I7" s="1" t="s">
        <v>52</v>
      </c>
      <c r="J7" s="2">
        <v>45392</v>
      </c>
      <c r="K7" s="2">
        <v>45417</v>
      </c>
      <c r="L7">
        <v>5000</v>
      </c>
      <c r="M7">
        <v>2000</v>
      </c>
      <c r="N7" s="1" t="s">
        <v>20</v>
      </c>
    </row>
    <row r="8" spans="1:14" x14ac:dyDescent="0.25">
      <c r="A8">
        <v>7</v>
      </c>
      <c r="B8" s="1" t="s">
        <v>53</v>
      </c>
      <c r="C8" s="1" t="s">
        <v>54</v>
      </c>
      <c r="D8" s="1" t="s">
        <v>55</v>
      </c>
      <c r="E8" s="1" t="s">
        <v>56</v>
      </c>
      <c r="F8">
        <v>2</v>
      </c>
      <c r="G8">
        <v>10000</v>
      </c>
      <c r="H8" s="1" t="s">
        <v>57</v>
      </c>
      <c r="I8" s="1" t="s">
        <v>58</v>
      </c>
      <c r="J8" s="2">
        <v>45350</v>
      </c>
      <c r="K8" s="2">
        <v>45376</v>
      </c>
      <c r="L8">
        <v>1500</v>
      </c>
      <c r="M8">
        <v>1000</v>
      </c>
      <c r="N8" s="1" t="s">
        <v>40</v>
      </c>
    </row>
    <row r="9" spans="1:14" x14ac:dyDescent="0.25">
      <c r="A9">
        <v>8</v>
      </c>
      <c r="B9" s="1" t="s">
        <v>59</v>
      </c>
      <c r="C9" s="1" t="s">
        <v>60</v>
      </c>
      <c r="D9" s="1" t="s">
        <v>61</v>
      </c>
      <c r="E9" s="1" t="s">
        <v>62</v>
      </c>
      <c r="F9">
        <v>1</v>
      </c>
      <c r="G9">
        <v>25000</v>
      </c>
      <c r="H9" s="1" t="s">
        <v>63</v>
      </c>
      <c r="I9" s="1" t="s">
        <v>64</v>
      </c>
      <c r="J9" s="2">
        <v>45371</v>
      </c>
      <c r="K9" s="2">
        <v>45397</v>
      </c>
      <c r="L9">
        <v>2000</v>
      </c>
      <c r="M9">
        <v>1200</v>
      </c>
      <c r="N9" s="1" t="s">
        <v>20</v>
      </c>
    </row>
    <row r="10" spans="1:14" x14ac:dyDescent="0.25">
      <c r="A10">
        <v>9</v>
      </c>
      <c r="B10" s="1" t="s">
        <v>65</v>
      </c>
      <c r="C10" s="1" t="s">
        <v>66</v>
      </c>
      <c r="D10" s="1" t="s">
        <v>67</v>
      </c>
      <c r="E10" s="1" t="s">
        <v>68</v>
      </c>
      <c r="F10">
        <v>1</v>
      </c>
      <c r="G10">
        <v>75000</v>
      </c>
      <c r="H10" s="1" t="s">
        <v>69</v>
      </c>
      <c r="I10" s="1" t="s">
        <v>70</v>
      </c>
      <c r="J10" s="2">
        <v>45316</v>
      </c>
      <c r="K10" s="2">
        <v>45342</v>
      </c>
      <c r="L10">
        <v>3000</v>
      </c>
      <c r="M10">
        <v>1500</v>
      </c>
      <c r="N10" s="1" t="s">
        <v>20</v>
      </c>
    </row>
    <row r="11" spans="1:14" x14ac:dyDescent="0.25">
      <c r="A11">
        <v>10</v>
      </c>
      <c r="B11" s="1" t="s">
        <v>71</v>
      </c>
      <c r="C11" s="1" t="s">
        <v>72</v>
      </c>
      <c r="D11" s="1" t="s">
        <v>73</v>
      </c>
      <c r="E11" s="1" t="s">
        <v>74</v>
      </c>
      <c r="F11">
        <v>2</v>
      </c>
      <c r="G11">
        <v>30000</v>
      </c>
      <c r="H11" s="1" t="s">
        <v>75</v>
      </c>
      <c r="I11" s="1" t="s">
        <v>19</v>
      </c>
      <c r="J11" s="2">
        <v>45387</v>
      </c>
      <c r="K11" s="2">
        <v>45412</v>
      </c>
      <c r="L11">
        <v>1000</v>
      </c>
      <c r="M11">
        <v>800</v>
      </c>
      <c r="N11" s="1" t="s">
        <v>20</v>
      </c>
    </row>
    <row r="12" spans="1:14" x14ac:dyDescent="0.25">
      <c r="A12">
        <v>11</v>
      </c>
      <c r="B12" s="1" t="s">
        <v>76</v>
      </c>
      <c r="C12" s="1" t="s">
        <v>77</v>
      </c>
      <c r="D12" s="1" t="s">
        <v>78</v>
      </c>
      <c r="E12" s="1" t="s">
        <v>79</v>
      </c>
      <c r="F12">
        <v>3</v>
      </c>
      <c r="G12">
        <v>5000</v>
      </c>
      <c r="H12" s="1" t="s">
        <v>80</v>
      </c>
      <c r="I12" s="1" t="s">
        <v>19</v>
      </c>
      <c r="J12" s="2">
        <v>45366</v>
      </c>
      <c r="K12" s="2">
        <v>45392</v>
      </c>
      <c r="L12">
        <v>1000</v>
      </c>
      <c r="M12">
        <v>500</v>
      </c>
      <c r="N12" s="1" t="s">
        <v>20</v>
      </c>
    </row>
    <row r="13" spans="1:14" x14ac:dyDescent="0.25">
      <c r="A13">
        <v>12</v>
      </c>
      <c r="B13" s="1" t="s">
        <v>81</v>
      </c>
      <c r="C13" s="1" t="s">
        <v>82</v>
      </c>
      <c r="D13" s="1" t="s">
        <v>83</v>
      </c>
      <c r="E13" s="1" t="s">
        <v>84</v>
      </c>
      <c r="F13">
        <v>1</v>
      </c>
      <c r="G13">
        <v>8000</v>
      </c>
      <c r="H13" s="1" t="s">
        <v>85</v>
      </c>
      <c r="I13" s="1" t="s">
        <v>86</v>
      </c>
      <c r="J13" s="2">
        <v>45342</v>
      </c>
      <c r="K13" s="2">
        <v>45369</v>
      </c>
      <c r="L13">
        <v>1200</v>
      </c>
      <c r="M13">
        <v>700</v>
      </c>
      <c r="N13" s="1" t="s">
        <v>40</v>
      </c>
    </row>
    <row r="14" spans="1:14" x14ac:dyDescent="0.25">
      <c r="A14">
        <v>13</v>
      </c>
      <c r="B14" s="1" t="s">
        <v>87</v>
      </c>
      <c r="C14" s="1" t="s">
        <v>88</v>
      </c>
      <c r="D14" s="1" t="s">
        <v>89</v>
      </c>
      <c r="E14" s="1" t="s">
        <v>90</v>
      </c>
      <c r="F14">
        <v>2</v>
      </c>
      <c r="G14">
        <v>20000</v>
      </c>
      <c r="H14" s="1" t="s">
        <v>91</v>
      </c>
      <c r="I14" s="1" t="s">
        <v>92</v>
      </c>
      <c r="J14" s="2">
        <v>45301</v>
      </c>
      <c r="K14" s="2">
        <v>45327</v>
      </c>
      <c r="L14">
        <v>2500</v>
      </c>
      <c r="M14">
        <v>1500</v>
      </c>
      <c r="N14" s="1" t="s">
        <v>20</v>
      </c>
    </row>
    <row r="15" spans="1:14" x14ac:dyDescent="0.25">
      <c r="A15">
        <v>14</v>
      </c>
      <c r="B15" s="1" t="s">
        <v>93</v>
      </c>
      <c r="C15" s="1" t="s">
        <v>94</v>
      </c>
      <c r="D15" s="1" t="s">
        <v>95</v>
      </c>
      <c r="E15" s="1" t="s">
        <v>96</v>
      </c>
      <c r="F15">
        <v>1</v>
      </c>
      <c r="G15">
        <v>12000</v>
      </c>
      <c r="H15" s="1" t="s">
        <v>97</v>
      </c>
      <c r="I15" s="1" t="s">
        <v>98</v>
      </c>
      <c r="J15" s="2">
        <v>45384</v>
      </c>
      <c r="K15" s="2">
        <v>45407</v>
      </c>
      <c r="L15">
        <v>1500</v>
      </c>
      <c r="M15">
        <v>900</v>
      </c>
      <c r="N15" s="1" t="s">
        <v>20</v>
      </c>
    </row>
    <row r="16" spans="1:14" x14ac:dyDescent="0.25">
      <c r="A16">
        <v>15</v>
      </c>
      <c r="B16" s="1" t="s">
        <v>99</v>
      </c>
      <c r="C16" s="1" t="s">
        <v>100</v>
      </c>
      <c r="D16" s="1" t="s">
        <v>101</v>
      </c>
      <c r="E16" s="1" t="s">
        <v>102</v>
      </c>
      <c r="F16">
        <v>1</v>
      </c>
      <c r="G16">
        <v>35000</v>
      </c>
      <c r="H16" s="1" t="s">
        <v>103</v>
      </c>
      <c r="I16" s="1" t="s">
        <v>104</v>
      </c>
      <c r="J16" s="2">
        <v>45356</v>
      </c>
      <c r="K16" s="2">
        <v>45379</v>
      </c>
      <c r="L16">
        <v>3000</v>
      </c>
      <c r="M16">
        <v>1800</v>
      </c>
      <c r="N16" s="1" t="s">
        <v>40</v>
      </c>
    </row>
    <row r="17" spans="1:14" x14ac:dyDescent="0.25">
      <c r="A17">
        <v>16</v>
      </c>
      <c r="B17" s="1" t="s">
        <v>105</v>
      </c>
      <c r="C17" s="1" t="s">
        <v>106</v>
      </c>
      <c r="D17" s="1" t="s">
        <v>107</v>
      </c>
      <c r="E17" s="1" t="s">
        <v>56</v>
      </c>
      <c r="F17">
        <v>1</v>
      </c>
      <c r="G17">
        <v>10000</v>
      </c>
      <c r="H17" s="1" t="s">
        <v>57</v>
      </c>
      <c r="I17" s="1" t="s">
        <v>58</v>
      </c>
      <c r="J17" s="2">
        <v>45350</v>
      </c>
      <c r="K17" s="2">
        <v>45376</v>
      </c>
      <c r="L17">
        <v>1500</v>
      </c>
      <c r="M17">
        <v>1000</v>
      </c>
      <c r="N17" s="1" t="s">
        <v>40</v>
      </c>
    </row>
    <row r="18" spans="1:14" x14ac:dyDescent="0.25">
      <c r="A18">
        <v>17</v>
      </c>
      <c r="B18" s="1" t="s">
        <v>108</v>
      </c>
      <c r="C18" s="1" t="s">
        <v>109</v>
      </c>
      <c r="D18" s="1" t="s">
        <v>110</v>
      </c>
      <c r="E18" s="1" t="s">
        <v>111</v>
      </c>
      <c r="F18">
        <v>2</v>
      </c>
      <c r="G18">
        <v>25000</v>
      </c>
      <c r="H18" s="1" t="s">
        <v>112</v>
      </c>
      <c r="I18" s="1" t="s">
        <v>92</v>
      </c>
      <c r="J18" s="2">
        <v>45371</v>
      </c>
      <c r="K18" s="2">
        <v>45397</v>
      </c>
      <c r="L18">
        <v>2000</v>
      </c>
      <c r="M18">
        <v>1200</v>
      </c>
      <c r="N18" s="1" t="s">
        <v>20</v>
      </c>
    </row>
    <row r="19" spans="1:14" x14ac:dyDescent="0.25">
      <c r="A19">
        <v>18</v>
      </c>
      <c r="B19" s="1" t="s">
        <v>113</v>
      </c>
      <c r="C19" s="1" t="s">
        <v>114</v>
      </c>
      <c r="D19" s="1" t="s">
        <v>49</v>
      </c>
      <c r="E19" s="1" t="s">
        <v>115</v>
      </c>
      <c r="F19">
        <v>3</v>
      </c>
      <c r="G19">
        <v>15000</v>
      </c>
      <c r="H19" s="1" t="s">
        <v>116</v>
      </c>
      <c r="I19" s="1" t="s">
        <v>39</v>
      </c>
      <c r="J19" s="2">
        <v>45316</v>
      </c>
      <c r="K19" s="2">
        <v>45342</v>
      </c>
      <c r="L19">
        <v>1800</v>
      </c>
      <c r="M19">
        <v>1000</v>
      </c>
      <c r="N19" s="1" t="s">
        <v>33</v>
      </c>
    </row>
    <row r="20" spans="1:14" x14ac:dyDescent="0.25">
      <c r="A20">
        <v>19</v>
      </c>
      <c r="B20" s="1" t="s">
        <v>117</v>
      </c>
      <c r="C20" s="1" t="s">
        <v>118</v>
      </c>
      <c r="D20" s="1" t="s">
        <v>119</v>
      </c>
      <c r="E20" s="1" t="s">
        <v>120</v>
      </c>
      <c r="F20">
        <v>1</v>
      </c>
      <c r="G20">
        <v>5000</v>
      </c>
      <c r="H20" s="1" t="s">
        <v>121</v>
      </c>
      <c r="I20" s="1" t="s">
        <v>19</v>
      </c>
      <c r="J20" s="2">
        <v>45387</v>
      </c>
      <c r="K20" s="2">
        <v>45412</v>
      </c>
      <c r="L20">
        <v>800</v>
      </c>
      <c r="M20">
        <v>600</v>
      </c>
      <c r="N20" s="1" t="s">
        <v>20</v>
      </c>
    </row>
    <row r="21" spans="1:14" x14ac:dyDescent="0.25">
      <c r="A21">
        <v>20</v>
      </c>
      <c r="B21" s="1" t="s">
        <v>122</v>
      </c>
      <c r="C21" s="1" t="s">
        <v>123</v>
      </c>
      <c r="D21" s="1" t="s">
        <v>124</v>
      </c>
      <c r="E21" s="1" t="s">
        <v>125</v>
      </c>
      <c r="F21">
        <v>2</v>
      </c>
      <c r="G21">
        <v>7000</v>
      </c>
      <c r="H21" s="1" t="s">
        <v>126</v>
      </c>
      <c r="I21" s="1" t="s">
        <v>70</v>
      </c>
      <c r="J21" s="2">
        <v>45361</v>
      </c>
      <c r="K21" s="2">
        <v>45387</v>
      </c>
      <c r="L21">
        <v>1200</v>
      </c>
      <c r="M21">
        <v>800</v>
      </c>
      <c r="N21" s="1" t="s">
        <v>20</v>
      </c>
    </row>
    <row r="22" spans="1:14" x14ac:dyDescent="0.25">
      <c r="A22">
        <v>21</v>
      </c>
      <c r="B22" s="1" t="s">
        <v>127</v>
      </c>
      <c r="C22" s="1" t="s">
        <v>106</v>
      </c>
      <c r="D22" s="1" t="s">
        <v>128</v>
      </c>
      <c r="E22" s="1" t="s">
        <v>44</v>
      </c>
      <c r="F22">
        <v>1</v>
      </c>
      <c r="G22">
        <v>10000</v>
      </c>
      <c r="H22" s="1" t="s">
        <v>45</v>
      </c>
      <c r="I22" s="1" t="s">
        <v>46</v>
      </c>
      <c r="J22" s="2">
        <v>45337</v>
      </c>
      <c r="K22" s="2">
        <v>45361</v>
      </c>
      <c r="L22">
        <v>1000</v>
      </c>
      <c r="M22">
        <v>700</v>
      </c>
      <c r="N22" s="1" t="s">
        <v>40</v>
      </c>
    </row>
    <row r="23" spans="1:14" x14ac:dyDescent="0.25">
      <c r="A23">
        <v>22</v>
      </c>
      <c r="B23" s="1" t="s">
        <v>129</v>
      </c>
      <c r="C23" s="1" t="s">
        <v>130</v>
      </c>
      <c r="D23" s="1" t="s">
        <v>16</v>
      </c>
      <c r="E23" s="1" t="s">
        <v>131</v>
      </c>
      <c r="F23">
        <v>2</v>
      </c>
      <c r="G23">
        <v>3000</v>
      </c>
      <c r="H23" s="1" t="s">
        <v>132</v>
      </c>
      <c r="I23" s="1" t="s">
        <v>19</v>
      </c>
      <c r="J23" s="2">
        <v>45311</v>
      </c>
      <c r="K23" s="2">
        <v>45337</v>
      </c>
      <c r="L23">
        <v>800</v>
      </c>
      <c r="M23">
        <v>500</v>
      </c>
      <c r="N23" s="1" t="s">
        <v>133</v>
      </c>
    </row>
    <row r="24" spans="1:14" x14ac:dyDescent="0.25">
      <c r="A24">
        <v>23</v>
      </c>
      <c r="B24" s="1" t="s">
        <v>134</v>
      </c>
      <c r="C24" s="1" t="s">
        <v>135</v>
      </c>
      <c r="D24" s="1" t="s">
        <v>73</v>
      </c>
      <c r="E24" s="1" t="s">
        <v>136</v>
      </c>
      <c r="F24">
        <v>1</v>
      </c>
      <c r="G24">
        <v>12000</v>
      </c>
      <c r="H24" s="1" t="s">
        <v>75</v>
      </c>
      <c r="I24" s="1" t="s">
        <v>19</v>
      </c>
      <c r="J24" s="2">
        <v>45392</v>
      </c>
      <c r="K24" s="2">
        <v>45417</v>
      </c>
      <c r="L24">
        <v>1500</v>
      </c>
      <c r="M24">
        <v>1000</v>
      </c>
      <c r="N24" s="1" t="s">
        <v>20</v>
      </c>
    </row>
    <row r="25" spans="1:14" x14ac:dyDescent="0.25">
      <c r="A25">
        <v>24</v>
      </c>
      <c r="B25" s="1" t="s">
        <v>137</v>
      </c>
      <c r="C25" s="1" t="s">
        <v>15</v>
      </c>
      <c r="D25" s="1" t="s">
        <v>36</v>
      </c>
      <c r="E25" s="1" t="s">
        <v>138</v>
      </c>
      <c r="F25">
        <v>2</v>
      </c>
      <c r="G25">
        <v>8000</v>
      </c>
      <c r="H25" s="1" t="s">
        <v>139</v>
      </c>
      <c r="I25" s="1" t="s">
        <v>140</v>
      </c>
      <c r="J25" s="2">
        <v>45379</v>
      </c>
      <c r="K25" s="2">
        <v>45404</v>
      </c>
      <c r="L25">
        <v>1000</v>
      </c>
      <c r="M25">
        <v>700</v>
      </c>
      <c r="N25" s="1" t="s">
        <v>40</v>
      </c>
    </row>
    <row r="26" spans="1:14" x14ac:dyDescent="0.25">
      <c r="A26">
        <v>25</v>
      </c>
      <c r="B26" s="1" t="s">
        <v>141</v>
      </c>
      <c r="C26" s="1" t="s">
        <v>15</v>
      </c>
      <c r="D26" s="1" t="s">
        <v>61</v>
      </c>
      <c r="E26" s="1" t="s">
        <v>142</v>
      </c>
      <c r="F26">
        <v>1</v>
      </c>
      <c r="G26">
        <v>25000</v>
      </c>
      <c r="H26" s="1" t="s">
        <v>143</v>
      </c>
      <c r="I26" s="1" t="s">
        <v>64</v>
      </c>
      <c r="J26" s="2">
        <v>45327</v>
      </c>
      <c r="K26" s="2">
        <v>45352</v>
      </c>
      <c r="L26">
        <v>2000</v>
      </c>
      <c r="M26">
        <v>1200</v>
      </c>
      <c r="N26" s="1" t="s">
        <v>20</v>
      </c>
    </row>
    <row r="27" spans="1:14" x14ac:dyDescent="0.25">
      <c r="A27">
        <v>26</v>
      </c>
      <c r="B27" s="1" t="s">
        <v>144</v>
      </c>
      <c r="C27" s="1" t="s">
        <v>106</v>
      </c>
      <c r="D27" s="1" t="s">
        <v>29</v>
      </c>
      <c r="E27" s="1" t="s">
        <v>145</v>
      </c>
      <c r="F27">
        <v>1</v>
      </c>
      <c r="G27">
        <v>40000</v>
      </c>
      <c r="H27" s="1" t="s">
        <v>146</v>
      </c>
      <c r="I27" s="1" t="s">
        <v>32</v>
      </c>
      <c r="J27" s="2">
        <v>45301</v>
      </c>
      <c r="K27" s="2">
        <v>45327</v>
      </c>
      <c r="L27">
        <v>2500</v>
      </c>
      <c r="M27">
        <v>1500</v>
      </c>
      <c r="N27" s="1" t="s">
        <v>20</v>
      </c>
    </row>
    <row r="28" spans="1:14" x14ac:dyDescent="0.25">
      <c r="A28">
        <v>27</v>
      </c>
      <c r="B28" s="1" t="s">
        <v>147</v>
      </c>
      <c r="C28" s="1" t="s">
        <v>148</v>
      </c>
      <c r="D28" s="1" t="s">
        <v>23</v>
      </c>
      <c r="E28" s="1" t="s">
        <v>149</v>
      </c>
      <c r="F28">
        <v>1</v>
      </c>
      <c r="G28">
        <v>200000</v>
      </c>
      <c r="H28" s="1" t="s">
        <v>150</v>
      </c>
      <c r="I28" s="1" t="s">
        <v>52</v>
      </c>
      <c r="J28" s="2">
        <v>45384</v>
      </c>
      <c r="K28" s="2">
        <v>45407</v>
      </c>
      <c r="L28">
        <v>5000</v>
      </c>
      <c r="M28">
        <v>3000</v>
      </c>
      <c r="N28" s="1" t="s">
        <v>20</v>
      </c>
    </row>
    <row r="29" spans="1:14" x14ac:dyDescent="0.25">
      <c r="A29">
        <v>28</v>
      </c>
      <c r="B29" s="1" t="s">
        <v>151</v>
      </c>
      <c r="C29" s="1" t="s">
        <v>152</v>
      </c>
      <c r="D29" s="1" t="s">
        <v>153</v>
      </c>
      <c r="E29" s="1" t="s">
        <v>154</v>
      </c>
      <c r="F29">
        <v>1</v>
      </c>
      <c r="G29">
        <v>70000</v>
      </c>
      <c r="H29" s="1" t="s">
        <v>155</v>
      </c>
      <c r="I29" s="1" t="s">
        <v>58</v>
      </c>
      <c r="J29" s="2">
        <v>45371</v>
      </c>
      <c r="K29" s="2">
        <v>45397</v>
      </c>
      <c r="L29">
        <v>3000</v>
      </c>
      <c r="M29">
        <v>2000</v>
      </c>
      <c r="N29" s="1" t="s">
        <v>40</v>
      </c>
    </row>
    <row r="30" spans="1:14" x14ac:dyDescent="0.25">
      <c r="A30">
        <v>29</v>
      </c>
      <c r="B30" s="1" t="s">
        <v>156</v>
      </c>
      <c r="C30" s="1" t="s">
        <v>157</v>
      </c>
      <c r="D30" s="1" t="s">
        <v>43</v>
      </c>
      <c r="E30" s="1" t="s">
        <v>158</v>
      </c>
      <c r="F30">
        <v>2</v>
      </c>
      <c r="G30">
        <v>6000</v>
      </c>
      <c r="H30" s="1" t="s">
        <v>139</v>
      </c>
      <c r="I30" s="1" t="s">
        <v>140</v>
      </c>
      <c r="J30" s="2">
        <v>45337</v>
      </c>
      <c r="K30" s="2">
        <v>45361</v>
      </c>
      <c r="L30">
        <v>800</v>
      </c>
      <c r="M30">
        <v>500</v>
      </c>
      <c r="N30" s="1" t="s">
        <v>133</v>
      </c>
    </row>
    <row r="31" spans="1:14" x14ac:dyDescent="0.25">
      <c r="A31">
        <v>30</v>
      </c>
      <c r="B31" s="1" t="s">
        <v>159</v>
      </c>
      <c r="C31" s="1" t="s">
        <v>160</v>
      </c>
      <c r="D31" s="1" t="s">
        <v>78</v>
      </c>
      <c r="E31" s="1" t="s">
        <v>37</v>
      </c>
      <c r="F31">
        <v>2</v>
      </c>
      <c r="G31">
        <v>25000</v>
      </c>
      <c r="H31" s="1" t="s">
        <v>38</v>
      </c>
      <c r="I31" s="1" t="s">
        <v>39</v>
      </c>
      <c r="J31" s="2">
        <v>45311</v>
      </c>
      <c r="K31" s="2">
        <v>45337</v>
      </c>
      <c r="L31">
        <v>1500</v>
      </c>
      <c r="M31">
        <v>1000</v>
      </c>
      <c r="N31" s="1" t="s">
        <v>40</v>
      </c>
    </row>
    <row r="32" spans="1:14" x14ac:dyDescent="0.25">
      <c r="A32">
        <v>31</v>
      </c>
      <c r="B32" s="1" t="s">
        <v>161</v>
      </c>
      <c r="C32" s="1" t="s">
        <v>100</v>
      </c>
      <c r="D32" s="1" t="s">
        <v>101</v>
      </c>
      <c r="E32" s="1" t="s">
        <v>162</v>
      </c>
      <c r="F32">
        <v>1</v>
      </c>
      <c r="G32">
        <v>15000</v>
      </c>
      <c r="H32" s="1" t="s">
        <v>163</v>
      </c>
      <c r="I32" s="1" t="s">
        <v>164</v>
      </c>
      <c r="J32" s="2">
        <v>45392</v>
      </c>
      <c r="K32" s="2">
        <v>45417</v>
      </c>
      <c r="L32">
        <v>2000</v>
      </c>
      <c r="M32">
        <v>1200</v>
      </c>
      <c r="N32" s="1" t="s">
        <v>20</v>
      </c>
    </row>
    <row r="33" spans="1:14" x14ac:dyDescent="0.25">
      <c r="A33">
        <v>32</v>
      </c>
      <c r="B33" s="1" t="s">
        <v>165</v>
      </c>
      <c r="C33" s="1" t="s">
        <v>123</v>
      </c>
      <c r="D33" s="1" t="s">
        <v>124</v>
      </c>
      <c r="E33" s="1" t="s">
        <v>166</v>
      </c>
      <c r="F33">
        <v>3</v>
      </c>
      <c r="G33">
        <v>3000</v>
      </c>
      <c r="H33" s="1" t="s">
        <v>167</v>
      </c>
      <c r="I33" s="1" t="s">
        <v>39</v>
      </c>
      <c r="J33" s="2">
        <v>45366</v>
      </c>
      <c r="K33" s="2">
        <v>45392</v>
      </c>
      <c r="L33">
        <v>1000</v>
      </c>
      <c r="M33">
        <v>500</v>
      </c>
      <c r="N33" s="1" t="s">
        <v>33</v>
      </c>
    </row>
    <row r="34" spans="1:14" x14ac:dyDescent="0.25">
      <c r="A34">
        <v>33</v>
      </c>
      <c r="B34" s="1" t="s">
        <v>168</v>
      </c>
      <c r="C34" s="1" t="s">
        <v>169</v>
      </c>
      <c r="D34" s="1" t="s">
        <v>67</v>
      </c>
      <c r="E34" s="1" t="s">
        <v>170</v>
      </c>
      <c r="F34">
        <v>1</v>
      </c>
      <c r="G34">
        <v>10000</v>
      </c>
      <c r="H34" s="1" t="s">
        <v>171</v>
      </c>
      <c r="I34" s="1" t="s">
        <v>70</v>
      </c>
      <c r="J34" s="2">
        <v>45342</v>
      </c>
      <c r="K34" s="2">
        <v>45369</v>
      </c>
      <c r="L34">
        <v>1500</v>
      </c>
      <c r="M34">
        <v>1000</v>
      </c>
      <c r="N34" s="1" t="s">
        <v>40</v>
      </c>
    </row>
    <row r="35" spans="1:14" x14ac:dyDescent="0.25">
      <c r="A35">
        <v>34</v>
      </c>
      <c r="B35" s="1" t="s">
        <v>172</v>
      </c>
      <c r="C35" s="1" t="s">
        <v>77</v>
      </c>
      <c r="D35" s="1" t="s">
        <v>83</v>
      </c>
      <c r="E35" s="1" t="s">
        <v>173</v>
      </c>
      <c r="F35">
        <v>2</v>
      </c>
      <c r="G35">
        <v>8000</v>
      </c>
      <c r="H35" s="1" t="s">
        <v>85</v>
      </c>
      <c r="I35" s="1" t="s">
        <v>86</v>
      </c>
      <c r="J35" s="2">
        <v>45301</v>
      </c>
      <c r="K35" s="2">
        <v>45327</v>
      </c>
      <c r="L35">
        <v>1200</v>
      </c>
      <c r="M35">
        <v>700</v>
      </c>
      <c r="N35" s="1" t="s">
        <v>20</v>
      </c>
    </row>
    <row r="36" spans="1:14" x14ac:dyDescent="0.25">
      <c r="A36">
        <v>35</v>
      </c>
      <c r="B36" s="1" t="s">
        <v>174</v>
      </c>
      <c r="C36" s="1" t="s">
        <v>42</v>
      </c>
      <c r="D36" s="1" t="s">
        <v>73</v>
      </c>
      <c r="E36" s="1" t="s">
        <v>175</v>
      </c>
      <c r="F36">
        <v>1</v>
      </c>
      <c r="G36">
        <v>10000</v>
      </c>
      <c r="H36" s="1" t="s">
        <v>75</v>
      </c>
      <c r="I36" s="1" t="s">
        <v>19</v>
      </c>
      <c r="J36" s="2">
        <v>45384</v>
      </c>
      <c r="K36" s="2">
        <v>45407</v>
      </c>
      <c r="L36">
        <v>1500</v>
      </c>
      <c r="M36">
        <v>800</v>
      </c>
      <c r="N36" s="1" t="s">
        <v>40</v>
      </c>
    </row>
    <row r="37" spans="1:14" x14ac:dyDescent="0.25">
      <c r="A37">
        <v>36</v>
      </c>
      <c r="B37" s="1" t="s">
        <v>176</v>
      </c>
      <c r="C37" s="1" t="s">
        <v>118</v>
      </c>
      <c r="D37" s="1" t="s">
        <v>119</v>
      </c>
      <c r="E37" s="1" t="s">
        <v>177</v>
      </c>
      <c r="F37">
        <v>1</v>
      </c>
      <c r="G37">
        <v>6000</v>
      </c>
      <c r="H37" s="1" t="s">
        <v>178</v>
      </c>
      <c r="I37" s="1" t="s">
        <v>64</v>
      </c>
      <c r="J37" s="2">
        <v>45356</v>
      </c>
      <c r="K37" s="2">
        <v>45379</v>
      </c>
      <c r="L37">
        <v>800</v>
      </c>
      <c r="M37">
        <v>500</v>
      </c>
      <c r="N37" s="1" t="s">
        <v>133</v>
      </c>
    </row>
    <row r="38" spans="1:14" x14ac:dyDescent="0.25">
      <c r="A38">
        <v>37</v>
      </c>
      <c r="B38" s="1" t="s">
        <v>179</v>
      </c>
      <c r="C38" s="1" t="s">
        <v>123</v>
      </c>
      <c r="D38" s="1" t="s">
        <v>55</v>
      </c>
      <c r="E38" s="1" t="s">
        <v>180</v>
      </c>
      <c r="F38">
        <v>1</v>
      </c>
      <c r="G38">
        <v>25000</v>
      </c>
      <c r="H38" s="1" t="s">
        <v>57</v>
      </c>
      <c r="I38" s="1" t="s">
        <v>58</v>
      </c>
      <c r="J38" s="2">
        <v>45350</v>
      </c>
      <c r="K38" s="2">
        <v>45376</v>
      </c>
      <c r="L38">
        <v>2000</v>
      </c>
      <c r="M38">
        <v>1200</v>
      </c>
      <c r="N38" s="1" t="s">
        <v>20</v>
      </c>
    </row>
    <row r="39" spans="1:14" x14ac:dyDescent="0.25">
      <c r="A39">
        <v>38</v>
      </c>
      <c r="B39" s="1" t="s">
        <v>181</v>
      </c>
      <c r="C39" s="1" t="s">
        <v>130</v>
      </c>
      <c r="D39" s="1" t="s">
        <v>16</v>
      </c>
      <c r="E39" s="1" t="s">
        <v>182</v>
      </c>
      <c r="F39">
        <v>2</v>
      </c>
      <c r="G39">
        <v>20000</v>
      </c>
      <c r="H39" s="1" t="s">
        <v>132</v>
      </c>
      <c r="I39" s="1" t="s">
        <v>19</v>
      </c>
      <c r="J39" s="2">
        <v>45311</v>
      </c>
      <c r="K39" s="2">
        <v>45337</v>
      </c>
      <c r="L39">
        <v>1200</v>
      </c>
      <c r="M39">
        <v>700</v>
      </c>
      <c r="N39" s="1" t="s">
        <v>40</v>
      </c>
    </row>
    <row r="40" spans="1:14" x14ac:dyDescent="0.25">
      <c r="A40">
        <v>39</v>
      </c>
      <c r="B40" s="1" t="s">
        <v>183</v>
      </c>
      <c r="C40" s="1" t="s">
        <v>123</v>
      </c>
      <c r="D40" s="1" t="s">
        <v>49</v>
      </c>
      <c r="E40" s="1" t="s">
        <v>184</v>
      </c>
      <c r="F40">
        <v>1</v>
      </c>
      <c r="G40">
        <v>500000</v>
      </c>
      <c r="H40" s="1" t="s">
        <v>185</v>
      </c>
      <c r="I40" s="1" t="s">
        <v>39</v>
      </c>
      <c r="J40" s="2">
        <v>45392</v>
      </c>
      <c r="K40" s="2">
        <v>45417</v>
      </c>
      <c r="L40">
        <v>5000</v>
      </c>
      <c r="M40">
        <v>3000</v>
      </c>
      <c r="N40" s="1" t="s">
        <v>20</v>
      </c>
    </row>
    <row r="41" spans="1:14" x14ac:dyDescent="0.25">
      <c r="A41">
        <v>40</v>
      </c>
      <c r="B41" s="1" t="s">
        <v>186</v>
      </c>
      <c r="C41" s="1" t="s">
        <v>100</v>
      </c>
      <c r="D41" s="1" t="s">
        <v>36</v>
      </c>
      <c r="E41" s="1" t="s">
        <v>187</v>
      </c>
      <c r="F41">
        <v>2</v>
      </c>
      <c r="G41">
        <v>5000</v>
      </c>
      <c r="H41" s="1" t="s">
        <v>139</v>
      </c>
      <c r="I41" s="1" t="s">
        <v>140</v>
      </c>
      <c r="J41" s="2">
        <v>45366</v>
      </c>
      <c r="K41" s="2">
        <v>45392</v>
      </c>
      <c r="L41">
        <v>1000</v>
      </c>
      <c r="M41">
        <v>500</v>
      </c>
      <c r="N41" s="1" t="s">
        <v>33</v>
      </c>
    </row>
    <row r="42" spans="1:14" x14ac:dyDescent="0.25">
      <c r="A42">
        <v>41</v>
      </c>
      <c r="B42" s="1" t="s">
        <v>188</v>
      </c>
      <c r="C42" s="1" t="s">
        <v>189</v>
      </c>
      <c r="D42" s="1" t="s">
        <v>61</v>
      </c>
      <c r="E42" s="1" t="s">
        <v>190</v>
      </c>
      <c r="F42">
        <v>1</v>
      </c>
      <c r="G42">
        <v>15000</v>
      </c>
      <c r="H42" s="1" t="s">
        <v>143</v>
      </c>
      <c r="I42" s="1" t="s">
        <v>64</v>
      </c>
      <c r="J42" s="2">
        <v>45342</v>
      </c>
      <c r="K42" s="2">
        <v>45369</v>
      </c>
      <c r="L42">
        <v>2000</v>
      </c>
      <c r="M42">
        <v>1200</v>
      </c>
      <c r="N42" s="1" t="s">
        <v>20</v>
      </c>
    </row>
    <row r="43" spans="1:14" x14ac:dyDescent="0.25">
      <c r="A43">
        <v>42</v>
      </c>
      <c r="B43" s="1" t="s">
        <v>191</v>
      </c>
      <c r="C43" s="1" t="s">
        <v>82</v>
      </c>
      <c r="D43" s="1" t="s">
        <v>29</v>
      </c>
      <c r="E43" s="1" t="s">
        <v>192</v>
      </c>
      <c r="F43">
        <v>1</v>
      </c>
      <c r="G43">
        <v>8000</v>
      </c>
      <c r="H43" s="1" t="s">
        <v>146</v>
      </c>
      <c r="I43" s="1" t="s">
        <v>32</v>
      </c>
      <c r="J43" s="2">
        <v>45301</v>
      </c>
      <c r="K43" s="2">
        <v>45327</v>
      </c>
      <c r="L43">
        <v>1500</v>
      </c>
      <c r="M43">
        <v>1000</v>
      </c>
      <c r="N43" s="1" t="s">
        <v>40</v>
      </c>
    </row>
    <row r="44" spans="1:14" x14ac:dyDescent="0.25">
      <c r="A44">
        <v>43</v>
      </c>
      <c r="B44" s="1" t="s">
        <v>193</v>
      </c>
      <c r="C44" s="1" t="s">
        <v>130</v>
      </c>
      <c r="D44" s="1" t="s">
        <v>23</v>
      </c>
      <c r="E44" s="1" t="s">
        <v>194</v>
      </c>
      <c r="F44">
        <v>1</v>
      </c>
      <c r="G44">
        <v>30000</v>
      </c>
      <c r="H44" s="1" t="s">
        <v>195</v>
      </c>
      <c r="I44" s="1" t="s">
        <v>39</v>
      </c>
      <c r="J44" s="2">
        <v>45384</v>
      </c>
      <c r="K44" s="2">
        <v>45407</v>
      </c>
      <c r="L44">
        <v>1800</v>
      </c>
      <c r="M44">
        <v>1000</v>
      </c>
      <c r="N44" s="1" t="s">
        <v>33</v>
      </c>
    </row>
    <row r="45" spans="1:14" x14ac:dyDescent="0.25">
      <c r="A45">
        <v>44</v>
      </c>
      <c r="B45" s="1" t="s">
        <v>196</v>
      </c>
      <c r="C45" s="1" t="s">
        <v>106</v>
      </c>
      <c r="D45" s="1" t="s">
        <v>107</v>
      </c>
      <c r="E45" s="1" t="s">
        <v>197</v>
      </c>
      <c r="F45">
        <v>3</v>
      </c>
      <c r="G45">
        <v>2000</v>
      </c>
      <c r="H45" s="1" t="s">
        <v>198</v>
      </c>
      <c r="I45" s="1" t="s">
        <v>164</v>
      </c>
      <c r="J45" s="2">
        <v>45356</v>
      </c>
      <c r="K45" s="2">
        <v>45379</v>
      </c>
      <c r="L45">
        <v>800</v>
      </c>
      <c r="M45">
        <v>600</v>
      </c>
      <c r="N45" s="1" t="s">
        <v>133</v>
      </c>
    </row>
    <row r="46" spans="1:14" x14ac:dyDescent="0.25">
      <c r="A46">
        <v>45</v>
      </c>
      <c r="B46" s="1" t="s">
        <v>199</v>
      </c>
      <c r="C46" s="1" t="s">
        <v>200</v>
      </c>
      <c r="D46" s="1" t="s">
        <v>110</v>
      </c>
      <c r="E46" s="1" t="s">
        <v>201</v>
      </c>
      <c r="F46">
        <v>1</v>
      </c>
      <c r="G46">
        <v>25000</v>
      </c>
      <c r="H46" s="1" t="s">
        <v>112</v>
      </c>
      <c r="I46" s="1" t="s">
        <v>92</v>
      </c>
      <c r="J46" s="2">
        <v>45350</v>
      </c>
      <c r="K46" s="2">
        <v>45376</v>
      </c>
      <c r="L46">
        <v>2000</v>
      </c>
      <c r="M46">
        <v>1200</v>
      </c>
      <c r="N46" s="1" t="s">
        <v>20</v>
      </c>
    </row>
    <row r="47" spans="1:14" x14ac:dyDescent="0.25">
      <c r="A47">
        <v>46</v>
      </c>
      <c r="B47" s="1" t="s">
        <v>202</v>
      </c>
      <c r="C47" s="1" t="s">
        <v>189</v>
      </c>
      <c r="D47" s="1" t="s">
        <v>73</v>
      </c>
      <c r="E47" s="1" t="s">
        <v>203</v>
      </c>
      <c r="F47">
        <v>2</v>
      </c>
      <c r="G47">
        <v>15000</v>
      </c>
      <c r="H47" s="1" t="s">
        <v>75</v>
      </c>
      <c r="I47" s="1" t="s">
        <v>19</v>
      </c>
      <c r="J47" s="2">
        <v>45301</v>
      </c>
      <c r="K47" s="2">
        <v>45327</v>
      </c>
      <c r="L47">
        <v>1500</v>
      </c>
      <c r="M47">
        <v>800</v>
      </c>
      <c r="N47" s="1" t="s">
        <v>40</v>
      </c>
    </row>
    <row r="48" spans="1:14" x14ac:dyDescent="0.25">
      <c r="A48">
        <v>47</v>
      </c>
      <c r="B48" s="1" t="s">
        <v>204</v>
      </c>
      <c r="C48" s="1" t="s">
        <v>100</v>
      </c>
      <c r="D48" s="1" t="s">
        <v>119</v>
      </c>
      <c r="E48" s="1" t="s">
        <v>205</v>
      </c>
      <c r="F48">
        <v>3</v>
      </c>
      <c r="G48">
        <v>1000</v>
      </c>
      <c r="H48" s="1" t="s">
        <v>178</v>
      </c>
      <c r="I48" s="1" t="s">
        <v>64</v>
      </c>
      <c r="J48" s="2">
        <v>45384</v>
      </c>
      <c r="K48" s="2">
        <v>45407</v>
      </c>
      <c r="L48">
        <v>500</v>
      </c>
      <c r="M48">
        <v>300</v>
      </c>
      <c r="N48" s="1" t="s">
        <v>133</v>
      </c>
    </row>
    <row r="49" spans="1:14" x14ac:dyDescent="0.25">
      <c r="A49">
        <v>48</v>
      </c>
      <c r="B49" s="1" t="s">
        <v>206</v>
      </c>
      <c r="C49" s="1" t="s">
        <v>106</v>
      </c>
      <c r="D49" s="1" t="s">
        <v>153</v>
      </c>
      <c r="E49" s="1" t="s">
        <v>207</v>
      </c>
      <c r="F49">
        <v>1</v>
      </c>
      <c r="G49">
        <v>40000</v>
      </c>
      <c r="H49" s="1" t="s">
        <v>155</v>
      </c>
      <c r="I49" s="1" t="s">
        <v>58</v>
      </c>
      <c r="J49" s="2">
        <v>45366</v>
      </c>
      <c r="K49" s="2">
        <v>45392</v>
      </c>
      <c r="L49">
        <v>3000</v>
      </c>
      <c r="M49">
        <v>2000</v>
      </c>
      <c r="N49" s="1" t="s">
        <v>20</v>
      </c>
    </row>
    <row r="50" spans="1:14" x14ac:dyDescent="0.25">
      <c r="A50">
        <v>49</v>
      </c>
      <c r="B50" s="1" t="s">
        <v>208</v>
      </c>
      <c r="C50" s="1" t="s">
        <v>100</v>
      </c>
      <c r="D50" s="1" t="s">
        <v>16</v>
      </c>
      <c r="E50" s="1" t="s">
        <v>209</v>
      </c>
      <c r="F50">
        <v>1</v>
      </c>
      <c r="G50">
        <v>40000</v>
      </c>
      <c r="H50" s="1" t="s">
        <v>210</v>
      </c>
      <c r="I50" s="1" t="s">
        <v>19</v>
      </c>
      <c r="J50" s="2">
        <v>45342</v>
      </c>
      <c r="K50" s="2">
        <v>45369</v>
      </c>
      <c r="L50">
        <v>2500</v>
      </c>
      <c r="M50">
        <v>1500</v>
      </c>
      <c r="N50" s="1" t="s">
        <v>20</v>
      </c>
    </row>
    <row r="51" spans="1:14" x14ac:dyDescent="0.25">
      <c r="A51">
        <v>50</v>
      </c>
      <c r="B51" s="1" t="s">
        <v>211</v>
      </c>
      <c r="C51" s="1" t="s">
        <v>106</v>
      </c>
      <c r="D51" s="1" t="s">
        <v>124</v>
      </c>
      <c r="E51" s="1" t="s">
        <v>212</v>
      </c>
      <c r="F51">
        <v>2</v>
      </c>
      <c r="G51">
        <v>3000</v>
      </c>
      <c r="H51" s="1" t="s">
        <v>38</v>
      </c>
      <c r="I51" s="1" t="s">
        <v>39</v>
      </c>
      <c r="J51" s="2">
        <v>45301</v>
      </c>
      <c r="K51" s="2">
        <v>45327</v>
      </c>
      <c r="L51">
        <v>1000</v>
      </c>
      <c r="M51">
        <v>500</v>
      </c>
      <c r="N51" s="1" t="s">
        <v>33</v>
      </c>
    </row>
    <row r="52" spans="1:14" x14ac:dyDescent="0.25">
      <c r="A52">
        <v>51</v>
      </c>
      <c r="B52" s="1" t="s">
        <v>191</v>
      </c>
      <c r="C52" s="1" t="s">
        <v>82</v>
      </c>
      <c r="D52" s="1" t="s">
        <v>29</v>
      </c>
      <c r="E52" s="1" t="s">
        <v>213</v>
      </c>
      <c r="F52">
        <v>1</v>
      </c>
      <c r="G52">
        <v>20000</v>
      </c>
      <c r="H52" s="1" t="s">
        <v>214</v>
      </c>
      <c r="I52" s="1" t="s">
        <v>32</v>
      </c>
      <c r="J52" s="2">
        <v>45392</v>
      </c>
      <c r="K52" s="2">
        <v>45417</v>
      </c>
      <c r="L52">
        <v>2500</v>
      </c>
      <c r="M52">
        <v>1500</v>
      </c>
      <c r="N52" s="1" t="s">
        <v>20</v>
      </c>
    </row>
    <row r="53" spans="1:14" x14ac:dyDescent="0.25">
      <c r="A53">
        <v>52</v>
      </c>
      <c r="B53" s="1" t="s">
        <v>168</v>
      </c>
      <c r="C53" s="1" t="s">
        <v>169</v>
      </c>
      <c r="D53" s="1" t="s">
        <v>67</v>
      </c>
      <c r="E53" s="1" t="s">
        <v>215</v>
      </c>
      <c r="F53">
        <v>1</v>
      </c>
      <c r="G53">
        <v>70000</v>
      </c>
      <c r="H53" s="1" t="s">
        <v>69</v>
      </c>
      <c r="I53" s="1" t="s">
        <v>70</v>
      </c>
      <c r="J53" s="2">
        <v>45366</v>
      </c>
      <c r="K53" s="2">
        <v>45392</v>
      </c>
      <c r="L53">
        <v>3000</v>
      </c>
      <c r="M53">
        <v>2000</v>
      </c>
      <c r="N53" s="1" t="s">
        <v>40</v>
      </c>
    </row>
    <row r="54" spans="1:14" x14ac:dyDescent="0.25">
      <c r="A54">
        <v>53</v>
      </c>
      <c r="B54" s="1" t="s">
        <v>174</v>
      </c>
      <c r="C54" s="1" t="s">
        <v>42</v>
      </c>
      <c r="D54" s="1" t="s">
        <v>73</v>
      </c>
      <c r="E54" s="1" t="s">
        <v>74</v>
      </c>
      <c r="F54">
        <v>1</v>
      </c>
      <c r="G54">
        <v>30000</v>
      </c>
      <c r="H54" s="1" t="s">
        <v>75</v>
      </c>
      <c r="I54" s="1" t="s">
        <v>19</v>
      </c>
      <c r="J54" s="2">
        <v>45350</v>
      </c>
      <c r="K54" s="2">
        <v>45376</v>
      </c>
      <c r="L54">
        <v>1500</v>
      </c>
      <c r="M54">
        <v>800</v>
      </c>
      <c r="N54" s="1" t="s">
        <v>40</v>
      </c>
    </row>
    <row r="55" spans="1:14" x14ac:dyDescent="0.25">
      <c r="A55">
        <v>54</v>
      </c>
      <c r="B55" s="1" t="s">
        <v>176</v>
      </c>
      <c r="C55" s="1" t="s">
        <v>118</v>
      </c>
      <c r="D55" s="1" t="s">
        <v>119</v>
      </c>
      <c r="E55" s="1" t="s">
        <v>120</v>
      </c>
      <c r="F55">
        <v>1</v>
      </c>
      <c r="G55">
        <v>5000</v>
      </c>
      <c r="H55" s="1" t="s">
        <v>121</v>
      </c>
      <c r="I55" s="1" t="s">
        <v>98</v>
      </c>
      <c r="J55" s="2">
        <v>45301</v>
      </c>
      <c r="K55" s="2">
        <v>45327</v>
      </c>
      <c r="L55">
        <v>800</v>
      </c>
      <c r="M55">
        <v>600</v>
      </c>
      <c r="N55" s="1" t="s">
        <v>20</v>
      </c>
    </row>
    <row r="56" spans="1:14" x14ac:dyDescent="0.25">
      <c r="A56">
        <v>55</v>
      </c>
      <c r="B56" s="1" t="s">
        <v>179</v>
      </c>
      <c r="C56" s="1" t="s">
        <v>123</v>
      </c>
      <c r="D56" s="1" t="s">
        <v>55</v>
      </c>
      <c r="E56" s="1" t="s">
        <v>56</v>
      </c>
      <c r="F56">
        <v>2</v>
      </c>
      <c r="G56">
        <v>10000</v>
      </c>
      <c r="H56" s="1" t="s">
        <v>57</v>
      </c>
      <c r="I56" s="1" t="s">
        <v>58</v>
      </c>
      <c r="J56" s="2">
        <v>45384</v>
      </c>
      <c r="K56" s="2">
        <v>45407</v>
      </c>
      <c r="L56">
        <v>2000</v>
      </c>
      <c r="M56">
        <v>1200</v>
      </c>
      <c r="N56" s="1" t="s">
        <v>20</v>
      </c>
    </row>
    <row r="57" spans="1:14" x14ac:dyDescent="0.25">
      <c r="A57">
        <v>56</v>
      </c>
      <c r="B57" s="1" t="s">
        <v>181</v>
      </c>
      <c r="C57" s="1" t="s">
        <v>130</v>
      </c>
      <c r="D57" s="1" t="s">
        <v>16</v>
      </c>
      <c r="E57" s="1" t="s">
        <v>17</v>
      </c>
      <c r="F57">
        <v>1</v>
      </c>
      <c r="G57">
        <v>8000</v>
      </c>
      <c r="H57" s="1" t="s">
        <v>132</v>
      </c>
      <c r="I57" s="1" t="s">
        <v>19</v>
      </c>
      <c r="J57" s="2">
        <v>45366</v>
      </c>
      <c r="K57" s="2">
        <v>45392</v>
      </c>
      <c r="L57">
        <v>1000</v>
      </c>
      <c r="M57">
        <v>500</v>
      </c>
      <c r="N57" s="1" t="s">
        <v>33</v>
      </c>
    </row>
    <row r="58" spans="1:14" x14ac:dyDescent="0.25">
      <c r="A58">
        <v>57</v>
      </c>
      <c r="B58" s="1" t="s">
        <v>183</v>
      </c>
      <c r="C58" s="1" t="s">
        <v>123</v>
      </c>
      <c r="D58" s="1" t="s">
        <v>49</v>
      </c>
      <c r="E58" s="1" t="s">
        <v>50</v>
      </c>
      <c r="F58">
        <v>1</v>
      </c>
      <c r="G58">
        <v>250000</v>
      </c>
      <c r="H58" s="1" t="s">
        <v>51</v>
      </c>
      <c r="I58" s="1" t="s">
        <v>52</v>
      </c>
      <c r="J58" s="2">
        <v>45350</v>
      </c>
      <c r="K58" s="2">
        <v>45376</v>
      </c>
      <c r="L58">
        <v>5000</v>
      </c>
      <c r="M58">
        <v>3000</v>
      </c>
      <c r="N58" s="1" t="s">
        <v>20</v>
      </c>
    </row>
    <row r="59" spans="1:14" x14ac:dyDescent="0.25">
      <c r="A59">
        <v>58</v>
      </c>
      <c r="B59" s="1" t="s">
        <v>186</v>
      </c>
      <c r="C59" s="1" t="s">
        <v>100</v>
      </c>
      <c r="D59" s="1" t="s">
        <v>36</v>
      </c>
      <c r="E59" s="1" t="s">
        <v>138</v>
      </c>
      <c r="F59">
        <v>2</v>
      </c>
      <c r="G59">
        <v>8000</v>
      </c>
      <c r="H59" s="1" t="s">
        <v>139</v>
      </c>
      <c r="I59" s="1" t="s">
        <v>140</v>
      </c>
      <c r="J59" s="2">
        <v>45301</v>
      </c>
      <c r="K59" s="2">
        <v>45327</v>
      </c>
      <c r="L59">
        <v>1000</v>
      </c>
      <c r="M59">
        <v>500</v>
      </c>
      <c r="N59" s="1" t="s">
        <v>33</v>
      </c>
    </row>
    <row r="60" spans="1:14" x14ac:dyDescent="0.25">
      <c r="A60">
        <v>59</v>
      </c>
      <c r="B60" s="1" t="s">
        <v>188</v>
      </c>
      <c r="C60" s="1" t="s">
        <v>189</v>
      </c>
      <c r="D60" s="1" t="s">
        <v>61</v>
      </c>
      <c r="E60" s="1" t="s">
        <v>62</v>
      </c>
      <c r="F60">
        <v>1</v>
      </c>
      <c r="G60">
        <v>40000</v>
      </c>
      <c r="H60" s="1" t="s">
        <v>63</v>
      </c>
      <c r="I60" s="1" t="s">
        <v>64</v>
      </c>
      <c r="J60" s="2">
        <v>45384</v>
      </c>
      <c r="K60" s="2">
        <v>45407</v>
      </c>
      <c r="L60">
        <v>1500</v>
      </c>
      <c r="M60">
        <v>800</v>
      </c>
      <c r="N60" s="1" t="s">
        <v>40</v>
      </c>
    </row>
    <row r="61" spans="1:14" x14ac:dyDescent="0.25">
      <c r="A61">
        <v>60</v>
      </c>
      <c r="B61" s="1" t="s">
        <v>191</v>
      </c>
      <c r="C61" s="1" t="s">
        <v>82</v>
      </c>
      <c r="D61" s="1" t="s">
        <v>29</v>
      </c>
      <c r="E61" s="1" t="s">
        <v>216</v>
      </c>
      <c r="F61">
        <v>1</v>
      </c>
      <c r="G61">
        <v>30000</v>
      </c>
      <c r="H61" s="1" t="s">
        <v>146</v>
      </c>
      <c r="I61" s="1" t="s">
        <v>32</v>
      </c>
      <c r="J61" s="2">
        <v>45356</v>
      </c>
      <c r="K61" s="2">
        <v>45379</v>
      </c>
      <c r="L61">
        <v>2000</v>
      </c>
      <c r="M61">
        <v>1200</v>
      </c>
      <c r="N61" s="1" t="s">
        <v>20</v>
      </c>
    </row>
    <row r="62" spans="1:14" x14ac:dyDescent="0.25">
      <c r="A62">
        <v>61</v>
      </c>
      <c r="B62" s="1" t="s">
        <v>208</v>
      </c>
      <c r="C62" s="1" t="s">
        <v>100</v>
      </c>
      <c r="D62" s="1" t="s">
        <v>23</v>
      </c>
      <c r="E62" s="1" t="s">
        <v>44</v>
      </c>
      <c r="F62">
        <v>1</v>
      </c>
      <c r="G62">
        <v>40000</v>
      </c>
      <c r="H62" s="1" t="s">
        <v>45</v>
      </c>
      <c r="I62" s="1" t="s">
        <v>46</v>
      </c>
      <c r="J62" s="2">
        <v>45342</v>
      </c>
      <c r="K62" s="2">
        <v>45369</v>
      </c>
      <c r="L62">
        <v>2000</v>
      </c>
      <c r="M62">
        <v>1200</v>
      </c>
      <c r="N62" s="1" t="s">
        <v>20</v>
      </c>
    </row>
    <row r="63" spans="1:14" x14ac:dyDescent="0.25">
      <c r="A63">
        <v>62</v>
      </c>
      <c r="B63" s="1" t="s">
        <v>206</v>
      </c>
      <c r="C63" s="1" t="s">
        <v>106</v>
      </c>
      <c r="D63" s="1" t="s">
        <v>153</v>
      </c>
      <c r="E63" s="1" t="s">
        <v>24</v>
      </c>
      <c r="F63">
        <v>1</v>
      </c>
      <c r="G63">
        <v>500000</v>
      </c>
      <c r="H63" s="1" t="s">
        <v>25</v>
      </c>
      <c r="I63" s="1" t="s">
        <v>26</v>
      </c>
      <c r="J63" s="2">
        <v>45301</v>
      </c>
      <c r="K63" s="2">
        <v>45327</v>
      </c>
      <c r="L63">
        <v>5000</v>
      </c>
      <c r="M63">
        <v>3000</v>
      </c>
      <c r="N63" s="1" t="s">
        <v>20</v>
      </c>
    </row>
    <row r="64" spans="1:14" x14ac:dyDescent="0.25">
      <c r="A64">
        <v>63</v>
      </c>
      <c r="B64" s="1" t="s">
        <v>204</v>
      </c>
      <c r="C64" s="1" t="s">
        <v>100</v>
      </c>
      <c r="D64" s="1" t="s">
        <v>119</v>
      </c>
      <c r="E64" s="1" t="s">
        <v>217</v>
      </c>
      <c r="F64">
        <v>1</v>
      </c>
      <c r="G64">
        <v>15000</v>
      </c>
      <c r="H64" s="1" t="s">
        <v>31</v>
      </c>
      <c r="I64" s="1" t="s">
        <v>32</v>
      </c>
      <c r="J64" s="2">
        <v>45392</v>
      </c>
      <c r="K64" s="2">
        <v>45417</v>
      </c>
      <c r="L64">
        <v>2500</v>
      </c>
      <c r="M64">
        <v>1500</v>
      </c>
      <c r="N64" s="1" t="s">
        <v>20</v>
      </c>
    </row>
    <row r="65" spans="1:14" x14ac:dyDescent="0.25">
      <c r="A65">
        <v>64</v>
      </c>
      <c r="B65" s="1" t="s">
        <v>196</v>
      </c>
      <c r="C65" s="1" t="s">
        <v>106</v>
      </c>
      <c r="D65" s="1" t="s">
        <v>107</v>
      </c>
      <c r="E65" s="1" t="s">
        <v>218</v>
      </c>
      <c r="F65">
        <v>3</v>
      </c>
      <c r="G65">
        <v>2000</v>
      </c>
      <c r="H65" s="1" t="s">
        <v>198</v>
      </c>
      <c r="I65" s="1" t="s">
        <v>164</v>
      </c>
      <c r="J65" s="2">
        <v>45366</v>
      </c>
      <c r="K65" s="2">
        <v>45392</v>
      </c>
      <c r="L65">
        <v>800</v>
      </c>
      <c r="M65">
        <v>600</v>
      </c>
      <c r="N65" s="1" t="s">
        <v>133</v>
      </c>
    </row>
    <row r="66" spans="1:14" x14ac:dyDescent="0.25">
      <c r="A66">
        <v>65</v>
      </c>
      <c r="B66" s="1" t="s">
        <v>199</v>
      </c>
      <c r="C66" s="1" t="s">
        <v>200</v>
      </c>
      <c r="D66" s="1" t="s">
        <v>110</v>
      </c>
      <c r="E66" s="1" t="s">
        <v>219</v>
      </c>
      <c r="F66">
        <v>1</v>
      </c>
      <c r="G66">
        <v>25000</v>
      </c>
      <c r="H66" s="1" t="s">
        <v>112</v>
      </c>
      <c r="I66" s="1" t="s">
        <v>92</v>
      </c>
      <c r="J66" s="2">
        <v>45350</v>
      </c>
      <c r="K66" s="2">
        <v>45376</v>
      </c>
      <c r="L66">
        <v>2000</v>
      </c>
      <c r="M66">
        <v>1200</v>
      </c>
      <c r="N66" s="1" t="s">
        <v>20</v>
      </c>
    </row>
    <row r="67" spans="1:14" x14ac:dyDescent="0.25">
      <c r="A67">
        <v>66</v>
      </c>
      <c r="B67" s="1" t="s">
        <v>202</v>
      </c>
      <c r="C67" s="1" t="s">
        <v>189</v>
      </c>
      <c r="D67" s="1" t="s">
        <v>73</v>
      </c>
      <c r="E67" s="1" t="s">
        <v>136</v>
      </c>
      <c r="F67">
        <v>2</v>
      </c>
      <c r="G67">
        <v>12000</v>
      </c>
      <c r="H67" s="1" t="s">
        <v>75</v>
      </c>
      <c r="I67" s="1" t="s">
        <v>19</v>
      </c>
      <c r="J67" s="2">
        <v>45301</v>
      </c>
      <c r="K67" s="2">
        <v>45327</v>
      </c>
      <c r="L67">
        <v>1500</v>
      </c>
      <c r="M67">
        <v>800</v>
      </c>
      <c r="N67" s="1" t="s">
        <v>40</v>
      </c>
    </row>
    <row r="68" spans="1:14" x14ac:dyDescent="0.25">
      <c r="A68">
        <v>67</v>
      </c>
      <c r="B68" s="1" t="s">
        <v>204</v>
      </c>
      <c r="C68" s="1" t="s">
        <v>100</v>
      </c>
      <c r="D68" s="1" t="s">
        <v>119</v>
      </c>
      <c r="E68" s="1" t="s">
        <v>205</v>
      </c>
      <c r="F68">
        <v>3</v>
      </c>
      <c r="G68">
        <v>1000</v>
      </c>
      <c r="H68" s="1" t="s">
        <v>178</v>
      </c>
      <c r="I68" s="1" t="s">
        <v>64</v>
      </c>
      <c r="J68" s="2">
        <v>45384</v>
      </c>
      <c r="K68" s="2">
        <v>45407</v>
      </c>
      <c r="L68">
        <v>500</v>
      </c>
      <c r="M68">
        <v>300</v>
      </c>
      <c r="N68" s="1" t="s">
        <v>133</v>
      </c>
    </row>
    <row r="69" spans="1:14" x14ac:dyDescent="0.25">
      <c r="A69">
        <v>68</v>
      </c>
      <c r="B69" s="1" t="s">
        <v>206</v>
      </c>
      <c r="C69" s="1" t="s">
        <v>106</v>
      </c>
      <c r="D69" s="1" t="s">
        <v>153</v>
      </c>
      <c r="E69" s="1" t="s">
        <v>207</v>
      </c>
      <c r="F69">
        <v>1</v>
      </c>
      <c r="G69">
        <v>40000</v>
      </c>
      <c r="H69" s="1" t="s">
        <v>155</v>
      </c>
      <c r="I69" s="1" t="s">
        <v>58</v>
      </c>
      <c r="J69" s="2">
        <v>45366</v>
      </c>
      <c r="K69" s="2">
        <v>45392</v>
      </c>
      <c r="L69">
        <v>3000</v>
      </c>
      <c r="M69">
        <v>2000</v>
      </c>
      <c r="N69" s="1" t="s">
        <v>20</v>
      </c>
    </row>
    <row r="70" spans="1:14" x14ac:dyDescent="0.25">
      <c r="A70">
        <v>69</v>
      </c>
      <c r="B70" s="1" t="s">
        <v>208</v>
      </c>
      <c r="C70" s="1" t="s">
        <v>100</v>
      </c>
      <c r="D70" s="1" t="s">
        <v>16</v>
      </c>
      <c r="E70" s="1" t="s">
        <v>209</v>
      </c>
      <c r="F70">
        <v>1</v>
      </c>
      <c r="G70">
        <v>40000</v>
      </c>
      <c r="H70" s="1" t="s">
        <v>210</v>
      </c>
      <c r="I70" s="1" t="s">
        <v>19</v>
      </c>
      <c r="J70" s="2">
        <v>45342</v>
      </c>
      <c r="K70" s="2">
        <v>45369</v>
      </c>
      <c r="L70">
        <v>2500</v>
      </c>
      <c r="M70">
        <v>1500</v>
      </c>
      <c r="N70" s="1" t="s">
        <v>20</v>
      </c>
    </row>
    <row r="71" spans="1:14" x14ac:dyDescent="0.25">
      <c r="A71">
        <v>70</v>
      </c>
      <c r="B71" s="1" t="s">
        <v>211</v>
      </c>
      <c r="C71" s="1" t="s">
        <v>106</v>
      </c>
      <c r="D71" s="1" t="s">
        <v>124</v>
      </c>
      <c r="E71" s="1" t="s">
        <v>212</v>
      </c>
      <c r="F71">
        <v>2</v>
      </c>
      <c r="G71">
        <v>3000</v>
      </c>
      <c r="H71" s="1" t="s">
        <v>38</v>
      </c>
      <c r="I71" s="1" t="s">
        <v>39</v>
      </c>
      <c r="J71" s="2">
        <v>45301</v>
      </c>
      <c r="K71" s="2">
        <v>45327</v>
      </c>
      <c r="L71">
        <v>1000</v>
      </c>
      <c r="M71">
        <v>500</v>
      </c>
      <c r="N71" s="1" t="s">
        <v>33</v>
      </c>
    </row>
    <row r="72" spans="1:14" x14ac:dyDescent="0.25">
      <c r="A72">
        <v>71</v>
      </c>
      <c r="B72" s="1" t="s">
        <v>220</v>
      </c>
      <c r="C72" s="1" t="s">
        <v>130</v>
      </c>
      <c r="D72" s="1" t="s">
        <v>23</v>
      </c>
      <c r="E72" s="1" t="s">
        <v>62</v>
      </c>
      <c r="F72">
        <v>1</v>
      </c>
      <c r="G72">
        <v>25000</v>
      </c>
      <c r="H72" s="1" t="s">
        <v>63</v>
      </c>
      <c r="I72" s="1" t="s">
        <v>64</v>
      </c>
      <c r="J72" s="2">
        <v>45384</v>
      </c>
      <c r="K72" s="2">
        <v>45407</v>
      </c>
      <c r="L72">
        <v>1500</v>
      </c>
      <c r="M72">
        <v>800</v>
      </c>
      <c r="N72" s="1" t="s">
        <v>40</v>
      </c>
    </row>
    <row r="73" spans="1:14" x14ac:dyDescent="0.25">
      <c r="A73">
        <v>72</v>
      </c>
      <c r="B73" s="1" t="s">
        <v>174</v>
      </c>
      <c r="C73" s="1" t="s">
        <v>42</v>
      </c>
      <c r="D73" s="1" t="s">
        <v>73</v>
      </c>
      <c r="E73" s="1" t="s">
        <v>221</v>
      </c>
      <c r="F73">
        <v>1</v>
      </c>
      <c r="G73">
        <v>5000</v>
      </c>
      <c r="H73" s="1" t="s">
        <v>222</v>
      </c>
      <c r="I73" s="1" t="s">
        <v>52</v>
      </c>
      <c r="J73" s="2">
        <v>45356</v>
      </c>
      <c r="K73" s="2">
        <v>45379</v>
      </c>
      <c r="L73">
        <v>1000</v>
      </c>
      <c r="M73">
        <v>700</v>
      </c>
      <c r="N73" s="1" t="s">
        <v>20</v>
      </c>
    </row>
    <row r="74" spans="1:14" x14ac:dyDescent="0.25">
      <c r="A74">
        <v>73</v>
      </c>
      <c r="B74" s="1" t="s">
        <v>176</v>
      </c>
      <c r="C74" s="1" t="s">
        <v>118</v>
      </c>
      <c r="D74" s="1" t="s">
        <v>29</v>
      </c>
      <c r="E74" s="1" t="s">
        <v>223</v>
      </c>
      <c r="F74">
        <v>1</v>
      </c>
      <c r="G74">
        <v>8000</v>
      </c>
      <c r="H74" s="1" t="s">
        <v>146</v>
      </c>
      <c r="I74" s="1" t="s">
        <v>32</v>
      </c>
      <c r="J74" s="2">
        <v>45350</v>
      </c>
      <c r="K74" s="2">
        <v>45376</v>
      </c>
      <c r="L74">
        <v>2000</v>
      </c>
      <c r="M74">
        <v>1200</v>
      </c>
      <c r="N74" s="1" t="s">
        <v>20</v>
      </c>
    </row>
    <row r="75" spans="1:14" x14ac:dyDescent="0.25">
      <c r="A75">
        <v>74</v>
      </c>
      <c r="B75" s="1" t="s">
        <v>179</v>
      </c>
      <c r="C75" s="1" t="s">
        <v>123</v>
      </c>
      <c r="D75" s="1" t="s">
        <v>36</v>
      </c>
      <c r="E75" s="1" t="s">
        <v>187</v>
      </c>
      <c r="F75">
        <v>2</v>
      </c>
      <c r="G75">
        <v>5000</v>
      </c>
      <c r="H75" s="1" t="s">
        <v>139</v>
      </c>
      <c r="I75" s="1" t="s">
        <v>140</v>
      </c>
      <c r="J75" s="2">
        <v>45301</v>
      </c>
      <c r="K75" s="2">
        <v>45327</v>
      </c>
      <c r="L75">
        <v>800</v>
      </c>
      <c r="M75">
        <v>500</v>
      </c>
      <c r="N75" s="1" t="s">
        <v>33</v>
      </c>
    </row>
    <row r="76" spans="1:14" x14ac:dyDescent="0.25">
      <c r="A76">
        <v>75</v>
      </c>
      <c r="B76" s="1" t="s">
        <v>181</v>
      </c>
      <c r="C76" s="1" t="s">
        <v>130</v>
      </c>
      <c r="D76" s="1" t="s">
        <v>61</v>
      </c>
      <c r="E76" s="1" t="s">
        <v>190</v>
      </c>
      <c r="F76">
        <v>1</v>
      </c>
      <c r="G76">
        <v>15000</v>
      </c>
      <c r="H76" s="1" t="s">
        <v>143</v>
      </c>
      <c r="I76" s="1" t="s">
        <v>64</v>
      </c>
      <c r="J76" s="2">
        <v>45384</v>
      </c>
      <c r="K76" s="2">
        <v>45407</v>
      </c>
      <c r="L76">
        <v>2000</v>
      </c>
      <c r="M76">
        <v>1200</v>
      </c>
      <c r="N76" s="1" t="s">
        <v>40</v>
      </c>
    </row>
    <row r="77" spans="1:14" x14ac:dyDescent="0.25">
      <c r="A77">
        <v>76</v>
      </c>
      <c r="B77" s="1" t="s">
        <v>183</v>
      </c>
      <c r="C77" s="1" t="s">
        <v>123</v>
      </c>
      <c r="D77" s="1" t="s">
        <v>49</v>
      </c>
      <c r="E77" s="1" t="s">
        <v>115</v>
      </c>
      <c r="F77">
        <v>1</v>
      </c>
      <c r="G77">
        <v>15000</v>
      </c>
      <c r="H77" s="1" t="s">
        <v>116</v>
      </c>
      <c r="I77" s="1" t="s">
        <v>39</v>
      </c>
      <c r="J77" s="2">
        <v>45366</v>
      </c>
      <c r="K77" s="2">
        <v>45392</v>
      </c>
      <c r="L77">
        <v>1800</v>
      </c>
      <c r="M77">
        <v>1000</v>
      </c>
      <c r="N77" s="1" t="s">
        <v>33</v>
      </c>
    </row>
    <row r="78" spans="1:14" x14ac:dyDescent="0.25">
      <c r="A78">
        <v>77</v>
      </c>
      <c r="B78" s="1" t="s">
        <v>186</v>
      </c>
      <c r="C78" s="1" t="s">
        <v>100</v>
      </c>
      <c r="D78" s="1" t="s">
        <v>23</v>
      </c>
      <c r="E78" s="1" t="s">
        <v>24</v>
      </c>
      <c r="F78">
        <v>1</v>
      </c>
      <c r="G78">
        <v>500000</v>
      </c>
      <c r="H78" s="1" t="s">
        <v>25</v>
      </c>
      <c r="I78" s="1" t="s">
        <v>26</v>
      </c>
      <c r="J78" s="2">
        <v>45350</v>
      </c>
      <c r="K78" s="2">
        <v>45376</v>
      </c>
      <c r="L78">
        <v>5000</v>
      </c>
      <c r="M78">
        <v>3000</v>
      </c>
      <c r="N78" s="1" t="s">
        <v>20</v>
      </c>
    </row>
    <row r="79" spans="1:14" x14ac:dyDescent="0.25">
      <c r="A79">
        <v>78</v>
      </c>
      <c r="B79" s="1" t="s">
        <v>188</v>
      </c>
      <c r="C79" s="1" t="s">
        <v>189</v>
      </c>
      <c r="D79" s="1" t="s">
        <v>29</v>
      </c>
      <c r="E79" s="1" t="s">
        <v>224</v>
      </c>
      <c r="F79">
        <v>2</v>
      </c>
      <c r="G79">
        <v>10000</v>
      </c>
      <c r="H79" s="1" t="s">
        <v>146</v>
      </c>
      <c r="I79" s="1" t="s">
        <v>32</v>
      </c>
      <c r="J79" s="2">
        <v>45301</v>
      </c>
      <c r="K79" s="2">
        <v>45327</v>
      </c>
      <c r="L79">
        <v>1500</v>
      </c>
      <c r="M79">
        <v>800</v>
      </c>
      <c r="N79" s="1" t="s">
        <v>40</v>
      </c>
    </row>
    <row r="80" spans="1:14" x14ac:dyDescent="0.25">
      <c r="A80">
        <v>79</v>
      </c>
      <c r="B80" s="1" t="s">
        <v>191</v>
      </c>
      <c r="C80" s="1" t="s">
        <v>82</v>
      </c>
      <c r="D80" s="1" t="s">
        <v>73</v>
      </c>
      <c r="E80" s="1" t="s">
        <v>74</v>
      </c>
      <c r="F80">
        <v>1</v>
      </c>
      <c r="G80">
        <v>30000</v>
      </c>
      <c r="H80" s="1" t="s">
        <v>75</v>
      </c>
      <c r="I80" s="1" t="s">
        <v>19</v>
      </c>
      <c r="J80" s="2">
        <v>45384</v>
      </c>
      <c r="K80" s="2">
        <v>45407</v>
      </c>
      <c r="L80">
        <v>1500</v>
      </c>
      <c r="M80">
        <v>800</v>
      </c>
      <c r="N80" s="1" t="s">
        <v>40</v>
      </c>
    </row>
    <row r="81" spans="1:14" x14ac:dyDescent="0.25">
      <c r="A81">
        <v>80</v>
      </c>
      <c r="B81" s="1" t="s">
        <v>208</v>
      </c>
      <c r="C81" s="1" t="s">
        <v>100</v>
      </c>
      <c r="D81" s="1" t="s">
        <v>83</v>
      </c>
      <c r="E81" s="1" t="s">
        <v>84</v>
      </c>
      <c r="F81">
        <v>1</v>
      </c>
      <c r="G81">
        <v>20000</v>
      </c>
      <c r="H81" s="1" t="s">
        <v>85</v>
      </c>
      <c r="I81" s="1" t="s">
        <v>86</v>
      </c>
      <c r="J81" s="2">
        <v>45371</v>
      </c>
      <c r="K81" s="2">
        <v>45397</v>
      </c>
      <c r="L81">
        <v>2000</v>
      </c>
      <c r="M81">
        <v>1200</v>
      </c>
      <c r="N81" s="1" t="s">
        <v>20</v>
      </c>
    </row>
    <row r="82" spans="1:14" x14ac:dyDescent="0.25">
      <c r="A82">
        <v>81</v>
      </c>
      <c r="B82" s="1" t="s">
        <v>206</v>
      </c>
      <c r="C82" s="1" t="s">
        <v>106</v>
      </c>
      <c r="D82" s="1" t="s">
        <v>55</v>
      </c>
      <c r="E82" s="1" t="s">
        <v>225</v>
      </c>
      <c r="F82">
        <v>1</v>
      </c>
      <c r="G82">
        <v>35000</v>
      </c>
      <c r="H82" s="1" t="s">
        <v>57</v>
      </c>
      <c r="I82" s="1" t="s">
        <v>58</v>
      </c>
      <c r="J82" s="2">
        <v>45337</v>
      </c>
      <c r="K82" s="2">
        <v>45361</v>
      </c>
      <c r="L82">
        <v>2500</v>
      </c>
      <c r="M82">
        <v>1500</v>
      </c>
      <c r="N82" s="1" t="s">
        <v>20</v>
      </c>
    </row>
    <row r="83" spans="1:14" x14ac:dyDescent="0.25">
      <c r="A83">
        <v>82</v>
      </c>
      <c r="B83" s="1" t="s">
        <v>204</v>
      </c>
      <c r="C83" s="1" t="s">
        <v>100</v>
      </c>
      <c r="D83" s="1" t="s">
        <v>16</v>
      </c>
      <c r="E83" s="1" t="s">
        <v>131</v>
      </c>
      <c r="F83">
        <v>2</v>
      </c>
      <c r="G83">
        <v>6000</v>
      </c>
      <c r="H83" s="1" t="s">
        <v>132</v>
      </c>
      <c r="I83" s="1" t="s">
        <v>19</v>
      </c>
      <c r="J83" s="2">
        <v>45301</v>
      </c>
      <c r="K83" s="2">
        <v>45327</v>
      </c>
      <c r="L83">
        <v>1000</v>
      </c>
      <c r="M83">
        <v>500</v>
      </c>
      <c r="N83" s="1" t="s">
        <v>33</v>
      </c>
    </row>
    <row r="84" spans="1:14" x14ac:dyDescent="0.25">
      <c r="A84">
        <v>83</v>
      </c>
      <c r="B84" s="1" t="s">
        <v>196</v>
      </c>
      <c r="C84" s="1" t="s">
        <v>106</v>
      </c>
      <c r="D84" s="1" t="s">
        <v>73</v>
      </c>
      <c r="E84" s="1" t="s">
        <v>226</v>
      </c>
      <c r="F84">
        <v>1</v>
      </c>
      <c r="G84">
        <v>20000</v>
      </c>
      <c r="H84" s="1" t="s">
        <v>63</v>
      </c>
      <c r="I84" s="1" t="s">
        <v>64</v>
      </c>
      <c r="J84" s="2">
        <v>45384</v>
      </c>
      <c r="K84" s="2">
        <v>45407</v>
      </c>
      <c r="L84">
        <v>1500</v>
      </c>
      <c r="M84">
        <v>800</v>
      </c>
      <c r="N84" s="1" t="s">
        <v>40</v>
      </c>
    </row>
    <row r="85" spans="1:14" x14ac:dyDescent="0.25">
      <c r="A85">
        <v>84</v>
      </c>
      <c r="B85" s="1" t="s">
        <v>199</v>
      </c>
      <c r="C85" s="1" t="s">
        <v>200</v>
      </c>
      <c r="D85" s="1" t="s">
        <v>29</v>
      </c>
      <c r="E85" s="1" t="s">
        <v>227</v>
      </c>
      <c r="F85">
        <v>1</v>
      </c>
      <c r="G85">
        <v>15000</v>
      </c>
      <c r="H85" s="1" t="s">
        <v>228</v>
      </c>
      <c r="I85" s="1" t="s">
        <v>92</v>
      </c>
      <c r="J85" s="2">
        <v>45371</v>
      </c>
      <c r="K85" s="2">
        <v>45397</v>
      </c>
      <c r="L85">
        <v>1800</v>
      </c>
      <c r="M85">
        <v>1000</v>
      </c>
      <c r="N85" s="1" t="s">
        <v>33</v>
      </c>
    </row>
    <row r="86" spans="1:14" x14ac:dyDescent="0.25">
      <c r="A86">
        <v>85</v>
      </c>
      <c r="B86" s="1" t="s">
        <v>202</v>
      </c>
      <c r="C86" s="1" t="s">
        <v>189</v>
      </c>
      <c r="D86" s="1" t="s">
        <v>36</v>
      </c>
      <c r="E86" s="1" t="s">
        <v>229</v>
      </c>
      <c r="F86">
        <v>2</v>
      </c>
      <c r="G86">
        <v>5000</v>
      </c>
      <c r="H86" s="1" t="s">
        <v>139</v>
      </c>
      <c r="I86" s="1" t="s">
        <v>140</v>
      </c>
      <c r="J86" s="2">
        <v>45337</v>
      </c>
      <c r="K86" s="2">
        <v>45361</v>
      </c>
      <c r="L86">
        <v>800</v>
      </c>
      <c r="M86">
        <v>500</v>
      </c>
      <c r="N86" s="1" t="s">
        <v>33</v>
      </c>
    </row>
    <row r="87" spans="1:14" x14ac:dyDescent="0.25">
      <c r="A87">
        <v>86</v>
      </c>
      <c r="B87" s="1" t="s">
        <v>211</v>
      </c>
      <c r="C87" s="1" t="s">
        <v>106</v>
      </c>
      <c r="D87" s="1" t="s">
        <v>23</v>
      </c>
      <c r="E87" s="1" t="s">
        <v>62</v>
      </c>
      <c r="F87">
        <v>1</v>
      </c>
      <c r="G87">
        <v>25000</v>
      </c>
      <c r="H87" s="1" t="s">
        <v>63</v>
      </c>
      <c r="I87" s="1" t="s">
        <v>64</v>
      </c>
      <c r="J87" s="2">
        <v>45301</v>
      </c>
      <c r="K87" s="2">
        <v>45327</v>
      </c>
      <c r="L87">
        <v>1500</v>
      </c>
      <c r="M87">
        <v>800</v>
      </c>
      <c r="N87" s="1" t="s">
        <v>40</v>
      </c>
    </row>
    <row r="88" spans="1:14" x14ac:dyDescent="0.25">
      <c r="A88">
        <v>87</v>
      </c>
      <c r="B88" s="1" t="s">
        <v>220</v>
      </c>
      <c r="C88" s="1" t="s">
        <v>130</v>
      </c>
      <c r="D88" s="1" t="s">
        <v>61</v>
      </c>
      <c r="E88" s="1" t="s">
        <v>230</v>
      </c>
      <c r="F88">
        <v>1</v>
      </c>
      <c r="G88">
        <v>5000</v>
      </c>
      <c r="H88" s="1" t="s">
        <v>143</v>
      </c>
      <c r="I88" s="1" t="s">
        <v>64</v>
      </c>
      <c r="J88" s="2">
        <v>45384</v>
      </c>
      <c r="K88" s="2">
        <v>45407</v>
      </c>
      <c r="L88">
        <v>800</v>
      </c>
      <c r="M88">
        <v>500</v>
      </c>
      <c r="N88" s="1" t="s">
        <v>133</v>
      </c>
    </row>
    <row r="89" spans="1:14" x14ac:dyDescent="0.25">
      <c r="A89">
        <v>88</v>
      </c>
      <c r="B89" s="1" t="s">
        <v>231</v>
      </c>
      <c r="C89" s="1" t="s">
        <v>94</v>
      </c>
      <c r="D89" s="1" t="s">
        <v>29</v>
      </c>
      <c r="E89" s="1" t="s">
        <v>232</v>
      </c>
      <c r="F89">
        <v>1</v>
      </c>
      <c r="G89">
        <v>10000</v>
      </c>
      <c r="H89" s="1" t="s">
        <v>146</v>
      </c>
      <c r="I89" s="1" t="s">
        <v>32</v>
      </c>
      <c r="J89" s="2">
        <v>45366</v>
      </c>
      <c r="K89" s="2">
        <v>45392</v>
      </c>
      <c r="L89">
        <v>1500</v>
      </c>
      <c r="M89">
        <v>800</v>
      </c>
      <c r="N89" s="1" t="s">
        <v>40</v>
      </c>
    </row>
    <row r="90" spans="1:14" x14ac:dyDescent="0.25">
      <c r="A90">
        <v>89</v>
      </c>
      <c r="B90" s="1" t="s">
        <v>233</v>
      </c>
      <c r="C90" s="1" t="s">
        <v>22</v>
      </c>
      <c r="D90" s="1" t="s">
        <v>36</v>
      </c>
      <c r="E90" s="1" t="s">
        <v>229</v>
      </c>
      <c r="F90">
        <v>1</v>
      </c>
      <c r="G90">
        <v>5000</v>
      </c>
      <c r="H90" s="1" t="s">
        <v>139</v>
      </c>
      <c r="I90" s="1" t="s">
        <v>140</v>
      </c>
      <c r="J90" s="2">
        <v>45342</v>
      </c>
      <c r="K90" s="2">
        <v>45369</v>
      </c>
      <c r="L90">
        <v>800</v>
      </c>
      <c r="M90">
        <v>500</v>
      </c>
      <c r="N90" s="1" t="s">
        <v>33</v>
      </c>
    </row>
    <row r="91" spans="1:14" x14ac:dyDescent="0.25">
      <c r="A91">
        <v>90</v>
      </c>
      <c r="B91" s="1" t="s">
        <v>234</v>
      </c>
      <c r="C91" s="1" t="s">
        <v>54</v>
      </c>
      <c r="D91" s="1" t="s">
        <v>36</v>
      </c>
      <c r="E91" s="1" t="s">
        <v>187</v>
      </c>
      <c r="F91">
        <v>1</v>
      </c>
      <c r="G91">
        <v>5000</v>
      </c>
      <c r="H91" s="1" t="s">
        <v>139</v>
      </c>
      <c r="I91" s="1" t="s">
        <v>140</v>
      </c>
      <c r="J91" s="2">
        <v>45301</v>
      </c>
      <c r="K91" s="2">
        <v>45327</v>
      </c>
      <c r="L91">
        <v>800</v>
      </c>
      <c r="M91">
        <v>500</v>
      </c>
      <c r="N91" s="1" t="s">
        <v>33</v>
      </c>
    </row>
    <row r="92" spans="1:14" x14ac:dyDescent="0.25">
      <c r="A92">
        <v>91</v>
      </c>
      <c r="B92" s="1" t="s">
        <v>235</v>
      </c>
      <c r="C92" s="1" t="s">
        <v>66</v>
      </c>
      <c r="D92" s="1" t="s">
        <v>23</v>
      </c>
      <c r="E92" s="1" t="s">
        <v>236</v>
      </c>
      <c r="F92">
        <v>1</v>
      </c>
      <c r="G92">
        <v>40000</v>
      </c>
      <c r="H92" s="1" t="s">
        <v>45</v>
      </c>
      <c r="I92" s="1" t="s">
        <v>46</v>
      </c>
      <c r="J92" s="2">
        <v>45356</v>
      </c>
      <c r="K92" s="2">
        <v>45379</v>
      </c>
      <c r="L92">
        <v>2000</v>
      </c>
      <c r="M92">
        <v>1200</v>
      </c>
      <c r="N92" s="1" t="s">
        <v>20</v>
      </c>
    </row>
    <row r="93" spans="1:14" x14ac:dyDescent="0.25">
      <c r="A93">
        <v>92</v>
      </c>
      <c r="B93" s="1" t="s">
        <v>237</v>
      </c>
      <c r="C93" s="1" t="s">
        <v>48</v>
      </c>
      <c r="D93" s="1" t="s">
        <v>29</v>
      </c>
      <c r="E93" s="1" t="s">
        <v>213</v>
      </c>
      <c r="F93">
        <v>1</v>
      </c>
      <c r="G93">
        <v>20000</v>
      </c>
      <c r="H93" s="1" t="s">
        <v>214</v>
      </c>
      <c r="I93" s="1" t="s">
        <v>32</v>
      </c>
      <c r="J93" s="2">
        <v>45384</v>
      </c>
      <c r="K93" s="2">
        <v>45407</v>
      </c>
      <c r="L93">
        <v>2500</v>
      </c>
      <c r="M93">
        <v>1500</v>
      </c>
      <c r="N93" s="1" t="s">
        <v>20</v>
      </c>
    </row>
    <row r="94" spans="1:14" x14ac:dyDescent="0.25">
      <c r="A94">
        <v>93</v>
      </c>
      <c r="B94" s="1" t="s">
        <v>238</v>
      </c>
      <c r="C94" s="1" t="s">
        <v>42</v>
      </c>
      <c r="D94" s="1" t="s">
        <v>29</v>
      </c>
      <c r="E94" s="1" t="s">
        <v>224</v>
      </c>
      <c r="F94">
        <v>1</v>
      </c>
      <c r="G94">
        <v>15000</v>
      </c>
      <c r="H94" s="1" t="s">
        <v>146</v>
      </c>
      <c r="I94" s="1" t="s">
        <v>32</v>
      </c>
      <c r="J94" s="2">
        <v>45366</v>
      </c>
      <c r="K94" s="2">
        <v>45392</v>
      </c>
      <c r="L94">
        <v>1200</v>
      </c>
      <c r="M94">
        <v>700</v>
      </c>
      <c r="N94" s="1" t="s">
        <v>33</v>
      </c>
    </row>
    <row r="95" spans="1:14" x14ac:dyDescent="0.25">
      <c r="A95">
        <v>94</v>
      </c>
      <c r="B95" s="1" t="s">
        <v>239</v>
      </c>
      <c r="C95" s="1" t="s">
        <v>123</v>
      </c>
      <c r="D95" s="1" t="s">
        <v>23</v>
      </c>
      <c r="E95" s="1" t="s">
        <v>62</v>
      </c>
      <c r="F95">
        <v>1</v>
      </c>
      <c r="G95">
        <v>30000</v>
      </c>
      <c r="H95" s="1" t="s">
        <v>63</v>
      </c>
      <c r="I95" s="1" t="s">
        <v>64</v>
      </c>
      <c r="J95" s="2">
        <v>45350</v>
      </c>
      <c r="K95" s="2">
        <v>45376</v>
      </c>
      <c r="L95">
        <v>1500</v>
      </c>
      <c r="M95">
        <v>800</v>
      </c>
      <c r="N95" s="1" t="s">
        <v>40</v>
      </c>
    </row>
    <row r="96" spans="1:14" x14ac:dyDescent="0.25">
      <c r="A96">
        <v>95</v>
      </c>
      <c r="B96" s="1" t="s">
        <v>240</v>
      </c>
      <c r="C96" s="1" t="s">
        <v>100</v>
      </c>
      <c r="D96" s="1" t="s">
        <v>78</v>
      </c>
      <c r="E96" s="1" t="s">
        <v>37</v>
      </c>
      <c r="F96">
        <v>1</v>
      </c>
      <c r="G96">
        <v>40000</v>
      </c>
      <c r="H96" s="1" t="s">
        <v>167</v>
      </c>
      <c r="I96" s="1" t="s">
        <v>39</v>
      </c>
      <c r="J96" s="2">
        <v>45311</v>
      </c>
      <c r="K96" s="2">
        <v>45337</v>
      </c>
      <c r="L96">
        <v>2000</v>
      </c>
      <c r="M96">
        <v>1200</v>
      </c>
      <c r="N96" s="1" t="s">
        <v>20</v>
      </c>
    </row>
    <row r="97" spans="1:14" x14ac:dyDescent="0.25">
      <c r="A97">
        <v>96</v>
      </c>
      <c r="B97" s="1" t="s">
        <v>241</v>
      </c>
      <c r="C97" s="1" t="s">
        <v>200</v>
      </c>
      <c r="D97" s="1" t="s">
        <v>29</v>
      </c>
      <c r="E97" s="1" t="s">
        <v>242</v>
      </c>
      <c r="F97">
        <v>1</v>
      </c>
      <c r="G97">
        <v>60000</v>
      </c>
      <c r="H97" s="1" t="s">
        <v>243</v>
      </c>
      <c r="I97" s="1" t="s">
        <v>98</v>
      </c>
      <c r="J97" s="2">
        <v>45392</v>
      </c>
      <c r="K97" s="2">
        <v>45417</v>
      </c>
      <c r="L97">
        <v>2500</v>
      </c>
      <c r="M97">
        <v>1500</v>
      </c>
      <c r="N97" s="1" t="s">
        <v>20</v>
      </c>
    </row>
    <row r="98" spans="1:14" x14ac:dyDescent="0.25">
      <c r="A98">
        <v>97</v>
      </c>
      <c r="B98" s="1" t="s">
        <v>244</v>
      </c>
      <c r="C98" s="1" t="s">
        <v>245</v>
      </c>
      <c r="D98" s="1" t="s">
        <v>29</v>
      </c>
      <c r="E98" s="1" t="s">
        <v>216</v>
      </c>
      <c r="F98">
        <v>1</v>
      </c>
      <c r="G98">
        <v>50000</v>
      </c>
      <c r="H98" s="1" t="s">
        <v>146</v>
      </c>
      <c r="I98" s="1" t="s">
        <v>32</v>
      </c>
      <c r="J98" s="2">
        <v>45356</v>
      </c>
      <c r="K98" s="2">
        <v>45379</v>
      </c>
      <c r="L98">
        <v>1800</v>
      </c>
      <c r="M98">
        <v>1000</v>
      </c>
      <c r="N98" s="1" t="s">
        <v>33</v>
      </c>
    </row>
    <row r="99" spans="1:14" x14ac:dyDescent="0.25">
      <c r="A99">
        <v>98</v>
      </c>
      <c r="B99" s="1" t="s">
        <v>246</v>
      </c>
      <c r="C99" s="1" t="s">
        <v>106</v>
      </c>
      <c r="D99" s="1" t="s">
        <v>36</v>
      </c>
      <c r="E99" s="1" t="s">
        <v>138</v>
      </c>
      <c r="F99">
        <v>1</v>
      </c>
      <c r="G99">
        <v>8000</v>
      </c>
      <c r="H99" s="1" t="s">
        <v>139</v>
      </c>
      <c r="I99" s="1" t="s">
        <v>140</v>
      </c>
      <c r="J99" s="2">
        <v>45342</v>
      </c>
      <c r="K99" s="2">
        <v>45369</v>
      </c>
      <c r="L99">
        <v>1000</v>
      </c>
      <c r="M99">
        <v>500</v>
      </c>
      <c r="N99" s="1" t="s">
        <v>33</v>
      </c>
    </row>
    <row r="100" spans="1:14" x14ac:dyDescent="0.25">
      <c r="A100">
        <v>99</v>
      </c>
      <c r="B100" s="1" t="s">
        <v>247</v>
      </c>
      <c r="C100" s="1" t="s">
        <v>248</v>
      </c>
      <c r="D100" s="1" t="s">
        <v>36</v>
      </c>
      <c r="E100" s="1" t="s">
        <v>187</v>
      </c>
      <c r="F100">
        <v>1</v>
      </c>
      <c r="G100">
        <v>5000</v>
      </c>
      <c r="H100" s="1" t="s">
        <v>139</v>
      </c>
      <c r="I100" s="1" t="s">
        <v>140</v>
      </c>
      <c r="J100" s="2">
        <v>45301</v>
      </c>
      <c r="K100" s="2">
        <v>45327</v>
      </c>
      <c r="L100">
        <v>800</v>
      </c>
      <c r="M100">
        <v>500</v>
      </c>
      <c r="N100" s="1" t="s">
        <v>33</v>
      </c>
    </row>
    <row r="101" spans="1:14" x14ac:dyDescent="0.25">
      <c r="A101">
        <v>100</v>
      </c>
      <c r="B101" s="1" t="s">
        <v>249</v>
      </c>
      <c r="C101" s="1" t="s">
        <v>88</v>
      </c>
      <c r="D101" s="1" t="s">
        <v>23</v>
      </c>
      <c r="E101" s="1" t="s">
        <v>236</v>
      </c>
      <c r="F101">
        <v>1</v>
      </c>
      <c r="G101">
        <v>40000</v>
      </c>
      <c r="H101" s="1" t="s">
        <v>45</v>
      </c>
      <c r="I101" s="1" t="s">
        <v>46</v>
      </c>
      <c r="J101" s="2">
        <v>45356</v>
      </c>
      <c r="K101" s="2">
        <v>45379</v>
      </c>
      <c r="L101">
        <v>2000</v>
      </c>
      <c r="M101">
        <v>1200</v>
      </c>
      <c r="N101" s="1" t="s">
        <v>20</v>
      </c>
    </row>
    <row r="102" spans="1:14" x14ac:dyDescent="0.25">
      <c r="A102">
        <v>101</v>
      </c>
      <c r="B102" s="1" t="s">
        <v>250</v>
      </c>
      <c r="C102" s="1" t="s">
        <v>35</v>
      </c>
      <c r="D102" s="1" t="s">
        <v>36</v>
      </c>
      <c r="E102" s="1" t="s">
        <v>138</v>
      </c>
      <c r="F102">
        <v>1</v>
      </c>
      <c r="G102">
        <v>8000</v>
      </c>
      <c r="H102" s="1" t="s">
        <v>139</v>
      </c>
      <c r="I102" s="1" t="s">
        <v>140</v>
      </c>
      <c r="J102" s="2">
        <v>45342</v>
      </c>
      <c r="K102" s="2">
        <v>45369</v>
      </c>
      <c r="L102">
        <v>1000</v>
      </c>
      <c r="M102">
        <v>500</v>
      </c>
      <c r="N102" s="1" t="s">
        <v>33</v>
      </c>
    </row>
    <row r="103" spans="1:14" x14ac:dyDescent="0.25">
      <c r="A103">
        <v>102</v>
      </c>
      <c r="B103" s="1" t="s">
        <v>233</v>
      </c>
      <c r="C103" s="1" t="s">
        <v>22</v>
      </c>
      <c r="D103" s="1" t="s">
        <v>23</v>
      </c>
      <c r="E103" s="1" t="s">
        <v>62</v>
      </c>
      <c r="F103">
        <v>1</v>
      </c>
      <c r="G103">
        <v>30000</v>
      </c>
      <c r="H103" s="1" t="s">
        <v>63</v>
      </c>
      <c r="I103" s="1" t="s">
        <v>64</v>
      </c>
      <c r="J103" s="2">
        <v>45350</v>
      </c>
      <c r="K103" s="2">
        <v>45376</v>
      </c>
      <c r="L103">
        <v>1500</v>
      </c>
      <c r="M103">
        <v>800</v>
      </c>
      <c r="N103" s="1" t="s">
        <v>40</v>
      </c>
    </row>
    <row r="104" spans="1:14" x14ac:dyDescent="0.25">
      <c r="A104">
        <v>103</v>
      </c>
      <c r="B104" s="1" t="s">
        <v>234</v>
      </c>
      <c r="C104" s="1" t="s">
        <v>54</v>
      </c>
      <c r="D104" s="1" t="s">
        <v>29</v>
      </c>
      <c r="E104" s="1" t="s">
        <v>213</v>
      </c>
      <c r="F104">
        <v>1</v>
      </c>
      <c r="G104">
        <v>20000</v>
      </c>
      <c r="H104" s="1" t="s">
        <v>214</v>
      </c>
      <c r="I104" s="1" t="s">
        <v>32</v>
      </c>
      <c r="J104" s="2">
        <v>45384</v>
      </c>
      <c r="K104" s="2">
        <v>45407</v>
      </c>
      <c r="L104">
        <v>2500</v>
      </c>
      <c r="M104">
        <v>1500</v>
      </c>
      <c r="N104" s="1" t="s">
        <v>20</v>
      </c>
    </row>
    <row r="105" spans="1:14" x14ac:dyDescent="0.25">
      <c r="A105">
        <v>104</v>
      </c>
      <c r="B105" s="1" t="s">
        <v>235</v>
      </c>
      <c r="C105" s="1" t="s">
        <v>66</v>
      </c>
      <c r="D105" s="1" t="s">
        <v>36</v>
      </c>
      <c r="E105" s="1" t="s">
        <v>187</v>
      </c>
      <c r="F105">
        <v>1</v>
      </c>
      <c r="G105">
        <v>5000</v>
      </c>
      <c r="H105" s="1" t="s">
        <v>139</v>
      </c>
      <c r="I105" s="1" t="s">
        <v>140</v>
      </c>
      <c r="J105" s="2">
        <v>45301</v>
      </c>
      <c r="K105" s="2">
        <v>45327</v>
      </c>
      <c r="L105">
        <v>800</v>
      </c>
      <c r="M105">
        <v>500</v>
      </c>
      <c r="N105" s="1" t="s">
        <v>33</v>
      </c>
    </row>
    <row r="106" spans="1:14" x14ac:dyDescent="0.25">
      <c r="A106">
        <v>105</v>
      </c>
      <c r="B106" s="1" t="s">
        <v>237</v>
      </c>
      <c r="C106" s="1" t="s">
        <v>48</v>
      </c>
      <c r="D106" s="1" t="s">
        <v>23</v>
      </c>
      <c r="E106" s="1" t="s">
        <v>236</v>
      </c>
      <c r="F106">
        <v>1</v>
      </c>
      <c r="G106">
        <v>40000</v>
      </c>
      <c r="H106" s="1" t="s">
        <v>45</v>
      </c>
      <c r="I106" s="1" t="s">
        <v>46</v>
      </c>
      <c r="J106" s="2">
        <v>45356</v>
      </c>
      <c r="K106" s="2">
        <v>45379</v>
      </c>
      <c r="L106">
        <v>2000</v>
      </c>
      <c r="M106">
        <v>1200</v>
      </c>
      <c r="N106" s="1" t="s">
        <v>20</v>
      </c>
    </row>
    <row r="107" spans="1:14" x14ac:dyDescent="0.25">
      <c r="A107">
        <v>106</v>
      </c>
      <c r="B107" s="1" t="s">
        <v>244</v>
      </c>
      <c r="C107" s="1" t="s">
        <v>245</v>
      </c>
      <c r="D107" s="1" t="s">
        <v>78</v>
      </c>
      <c r="E107" s="1" t="s">
        <v>37</v>
      </c>
      <c r="F107">
        <v>1</v>
      </c>
      <c r="G107">
        <v>40000</v>
      </c>
      <c r="H107" s="1" t="s">
        <v>167</v>
      </c>
      <c r="I107" s="1" t="s">
        <v>39</v>
      </c>
      <c r="J107" s="2">
        <v>45311</v>
      </c>
      <c r="K107" s="2">
        <v>45337</v>
      </c>
      <c r="L107">
        <v>2000</v>
      </c>
      <c r="M107">
        <v>1200</v>
      </c>
      <c r="N107" s="1" t="s">
        <v>20</v>
      </c>
    </row>
    <row r="108" spans="1:14" x14ac:dyDescent="0.25">
      <c r="A108">
        <v>107</v>
      </c>
      <c r="B108" s="1" t="s">
        <v>246</v>
      </c>
      <c r="C108" s="1" t="s">
        <v>106</v>
      </c>
      <c r="D108" s="1" t="s">
        <v>29</v>
      </c>
      <c r="E108" s="1" t="s">
        <v>242</v>
      </c>
      <c r="F108">
        <v>1</v>
      </c>
      <c r="G108">
        <v>60000</v>
      </c>
      <c r="H108" s="1" t="s">
        <v>243</v>
      </c>
      <c r="I108" s="1" t="s">
        <v>98</v>
      </c>
      <c r="J108" s="2">
        <v>45392</v>
      </c>
      <c r="K108" s="2">
        <v>45417</v>
      </c>
      <c r="L108">
        <v>2500</v>
      </c>
      <c r="M108">
        <v>1500</v>
      </c>
      <c r="N108" s="1" t="s">
        <v>20</v>
      </c>
    </row>
    <row r="109" spans="1:14" x14ac:dyDescent="0.25">
      <c r="A109">
        <v>108</v>
      </c>
      <c r="B109" s="1" t="s">
        <v>247</v>
      </c>
      <c r="C109" s="1" t="s">
        <v>248</v>
      </c>
      <c r="D109" s="1" t="s">
        <v>29</v>
      </c>
      <c r="E109" s="1" t="s">
        <v>216</v>
      </c>
      <c r="F109">
        <v>1</v>
      </c>
      <c r="G109">
        <v>50000</v>
      </c>
      <c r="H109" s="1" t="s">
        <v>146</v>
      </c>
      <c r="I109" s="1" t="s">
        <v>32</v>
      </c>
      <c r="J109" s="2">
        <v>45356</v>
      </c>
      <c r="K109" s="2">
        <v>45379</v>
      </c>
      <c r="L109">
        <v>1800</v>
      </c>
      <c r="M109">
        <v>1000</v>
      </c>
      <c r="N109" s="1" t="s">
        <v>33</v>
      </c>
    </row>
    <row r="110" spans="1:14" x14ac:dyDescent="0.25">
      <c r="A110">
        <v>109</v>
      </c>
      <c r="B110" s="1" t="s">
        <v>249</v>
      </c>
      <c r="C110" s="1" t="s">
        <v>88</v>
      </c>
      <c r="D110" s="1" t="s">
        <v>36</v>
      </c>
      <c r="E110" s="1" t="s">
        <v>229</v>
      </c>
      <c r="F110">
        <v>1</v>
      </c>
      <c r="G110">
        <v>5000</v>
      </c>
      <c r="H110" s="1" t="s">
        <v>139</v>
      </c>
      <c r="I110" s="1" t="s">
        <v>140</v>
      </c>
      <c r="J110" s="2">
        <v>45342</v>
      </c>
      <c r="K110" s="2">
        <v>45369</v>
      </c>
      <c r="L110">
        <v>800</v>
      </c>
      <c r="M110">
        <v>500</v>
      </c>
      <c r="N110" s="1" t="s">
        <v>33</v>
      </c>
    </row>
    <row r="111" spans="1:14" x14ac:dyDescent="0.25">
      <c r="A111">
        <v>110</v>
      </c>
      <c r="B111" s="1" t="s">
        <v>251</v>
      </c>
      <c r="C111" s="1" t="s">
        <v>94</v>
      </c>
      <c r="D111" s="1" t="s">
        <v>36</v>
      </c>
      <c r="E111" s="1" t="s">
        <v>187</v>
      </c>
      <c r="F111">
        <v>1</v>
      </c>
      <c r="G111">
        <v>5000</v>
      </c>
      <c r="H111" s="1" t="s">
        <v>139</v>
      </c>
      <c r="I111" s="1" t="s">
        <v>140</v>
      </c>
      <c r="J111" s="2">
        <v>45301</v>
      </c>
      <c r="K111" s="2">
        <v>45327</v>
      </c>
      <c r="L111">
        <v>800</v>
      </c>
      <c r="M111">
        <v>500</v>
      </c>
      <c r="N111" s="1" t="s">
        <v>33</v>
      </c>
    </row>
    <row r="112" spans="1:14" x14ac:dyDescent="0.25">
      <c r="A112">
        <v>111</v>
      </c>
      <c r="B112" s="1" t="s">
        <v>250</v>
      </c>
      <c r="C112" s="1" t="s">
        <v>35</v>
      </c>
      <c r="D112" s="1" t="s">
        <v>23</v>
      </c>
      <c r="E112" s="1" t="s">
        <v>236</v>
      </c>
      <c r="F112">
        <v>1</v>
      </c>
      <c r="G112">
        <v>40000</v>
      </c>
      <c r="H112" s="1" t="s">
        <v>45</v>
      </c>
      <c r="I112" s="1" t="s">
        <v>46</v>
      </c>
      <c r="J112" s="2">
        <v>45356</v>
      </c>
      <c r="K112" s="2">
        <v>45379</v>
      </c>
      <c r="L112">
        <v>2000</v>
      </c>
      <c r="M112">
        <v>1200</v>
      </c>
      <c r="N112" s="1" t="s">
        <v>20</v>
      </c>
    </row>
    <row r="113" spans="1:14" x14ac:dyDescent="0.25">
      <c r="A113">
        <v>112</v>
      </c>
      <c r="B113" s="1" t="s">
        <v>233</v>
      </c>
      <c r="C113" s="1" t="s">
        <v>22</v>
      </c>
      <c r="D113" s="1" t="s">
        <v>78</v>
      </c>
      <c r="E113" s="1" t="s">
        <v>37</v>
      </c>
      <c r="F113">
        <v>1</v>
      </c>
      <c r="G113">
        <v>40000</v>
      </c>
      <c r="H113" s="1" t="s">
        <v>167</v>
      </c>
      <c r="I113" s="1" t="s">
        <v>39</v>
      </c>
      <c r="J113" s="2">
        <v>45311</v>
      </c>
      <c r="K113" s="2">
        <v>45337</v>
      </c>
      <c r="L113">
        <v>2000</v>
      </c>
      <c r="M113">
        <v>1200</v>
      </c>
      <c r="N113" s="1" t="s">
        <v>20</v>
      </c>
    </row>
    <row r="114" spans="1:14" x14ac:dyDescent="0.25">
      <c r="A114">
        <v>113</v>
      </c>
      <c r="B114" s="1" t="s">
        <v>234</v>
      </c>
      <c r="C114" s="1" t="s">
        <v>54</v>
      </c>
      <c r="D114" s="1" t="s">
        <v>36</v>
      </c>
      <c r="E114" s="1" t="s">
        <v>138</v>
      </c>
      <c r="F114">
        <v>1</v>
      </c>
      <c r="G114">
        <v>8000</v>
      </c>
      <c r="H114" s="1" t="s">
        <v>139</v>
      </c>
      <c r="I114" s="1" t="s">
        <v>140</v>
      </c>
      <c r="J114" s="2">
        <v>45342</v>
      </c>
      <c r="K114" s="2">
        <v>45369</v>
      </c>
      <c r="L114">
        <v>1000</v>
      </c>
      <c r="M114">
        <v>500</v>
      </c>
      <c r="N114" s="1" t="s">
        <v>33</v>
      </c>
    </row>
    <row r="115" spans="1:14" x14ac:dyDescent="0.25">
      <c r="A115">
        <v>114</v>
      </c>
      <c r="B115" s="1" t="s">
        <v>235</v>
      </c>
      <c r="C115" s="1" t="s">
        <v>66</v>
      </c>
      <c r="D115" s="1" t="s">
        <v>29</v>
      </c>
      <c r="E115" s="1" t="s">
        <v>213</v>
      </c>
      <c r="F115">
        <v>1</v>
      </c>
      <c r="G115">
        <v>20000</v>
      </c>
      <c r="H115" s="1" t="s">
        <v>214</v>
      </c>
      <c r="I115" s="1" t="s">
        <v>32</v>
      </c>
      <c r="J115" s="2">
        <v>45384</v>
      </c>
      <c r="K115" s="2">
        <v>45407</v>
      </c>
      <c r="L115">
        <v>2500</v>
      </c>
      <c r="M115">
        <v>1500</v>
      </c>
      <c r="N115" s="1" t="s">
        <v>20</v>
      </c>
    </row>
    <row r="116" spans="1:14" x14ac:dyDescent="0.25">
      <c r="A116">
        <v>115</v>
      </c>
      <c r="B116" s="1" t="s">
        <v>237</v>
      </c>
      <c r="C116" s="1" t="s">
        <v>48</v>
      </c>
      <c r="D116" s="1" t="s">
        <v>23</v>
      </c>
      <c r="E116" s="1" t="s">
        <v>62</v>
      </c>
      <c r="F116">
        <v>1</v>
      </c>
      <c r="G116">
        <v>30000</v>
      </c>
      <c r="H116" s="1" t="s">
        <v>63</v>
      </c>
      <c r="I116" s="1" t="s">
        <v>64</v>
      </c>
      <c r="J116" s="2">
        <v>45350</v>
      </c>
      <c r="K116" s="2">
        <v>45376</v>
      </c>
      <c r="L116">
        <v>1500</v>
      </c>
      <c r="M116">
        <v>800</v>
      </c>
      <c r="N116" s="1" t="s">
        <v>40</v>
      </c>
    </row>
    <row r="117" spans="1:14" x14ac:dyDescent="0.25">
      <c r="A117">
        <v>116</v>
      </c>
      <c r="B117" s="1" t="s">
        <v>244</v>
      </c>
      <c r="C117" s="1" t="s">
        <v>245</v>
      </c>
      <c r="D117" s="1" t="s">
        <v>36</v>
      </c>
      <c r="E117" s="1" t="s">
        <v>187</v>
      </c>
      <c r="F117">
        <v>1</v>
      </c>
      <c r="G117">
        <v>5000</v>
      </c>
      <c r="H117" s="1" t="s">
        <v>139</v>
      </c>
      <c r="I117" s="1" t="s">
        <v>140</v>
      </c>
      <c r="J117" s="2">
        <v>45301</v>
      </c>
      <c r="K117" s="2">
        <v>45327</v>
      </c>
      <c r="L117">
        <v>800</v>
      </c>
      <c r="M117">
        <v>500</v>
      </c>
      <c r="N117" s="1" t="s">
        <v>33</v>
      </c>
    </row>
    <row r="118" spans="1:14" x14ac:dyDescent="0.25">
      <c r="A118">
        <v>117</v>
      </c>
      <c r="B118" s="1" t="s">
        <v>246</v>
      </c>
      <c r="C118" s="1" t="s">
        <v>106</v>
      </c>
      <c r="D118" s="1" t="s">
        <v>23</v>
      </c>
      <c r="E118" s="1" t="s">
        <v>149</v>
      </c>
      <c r="F118">
        <v>1</v>
      </c>
      <c r="G118">
        <v>80000</v>
      </c>
      <c r="H118" s="1" t="s">
        <v>252</v>
      </c>
      <c r="I118" s="1" t="s">
        <v>52</v>
      </c>
      <c r="J118" s="2">
        <v>45402</v>
      </c>
      <c r="K118" s="2">
        <v>45427</v>
      </c>
      <c r="L118">
        <v>3000</v>
      </c>
      <c r="M118">
        <v>2000</v>
      </c>
      <c r="N118" s="1" t="s">
        <v>20</v>
      </c>
    </row>
    <row r="119" spans="1:14" x14ac:dyDescent="0.25">
      <c r="A119">
        <v>118</v>
      </c>
      <c r="B119" s="1" t="s">
        <v>247</v>
      </c>
      <c r="C119" s="1" t="s">
        <v>248</v>
      </c>
      <c r="D119" s="1" t="s">
        <v>78</v>
      </c>
      <c r="E119" s="1" t="s">
        <v>79</v>
      </c>
      <c r="F119">
        <v>1</v>
      </c>
      <c r="G119">
        <v>10000</v>
      </c>
      <c r="H119" s="1" t="s">
        <v>253</v>
      </c>
      <c r="I119" s="1" t="s">
        <v>19</v>
      </c>
      <c r="J119" s="2">
        <v>45366</v>
      </c>
      <c r="K119" s="2">
        <v>45392</v>
      </c>
      <c r="L119">
        <v>1200</v>
      </c>
      <c r="M119">
        <v>800</v>
      </c>
      <c r="N119" s="1" t="s">
        <v>20</v>
      </c>
    </row>
    <row r="120" spans="1:14" x14ac:dyDescent="0.25">
      <c r="A120">
        <v>119</v>
      </c>
      <c r="B120" s="1" t="s">
        <v>249</v>
      </c>
      <c r="C120" s="1" t="s">
        <v>88</v>
      </c>
      <c r="D120" s="1" t="s">
        <v>29</v>
      </c>
      <c r="E120" s="1" t="s">
        <v>216</v>
      </c>
      <c r="F120">
        <v>1</v>
      </c>
      <c r="G120">
        <v>50000</v>
      </c>
      <c r="H120" s="1" t="s">
        <v>146</v>
      </c>
      <c r="I120" s="1" t="s">
        <v>32</v>
      </c>
      <c r="J120" s="2">
        <v>45356</v>
      </c>
      <c r="K120" s="2">
        <v>45379</v>
      </c>
      <c r="L120">
        <v>1800</v>
      </c>
      <c r="M120">
        <v>1000</v>
      </c>
      <c r="N120" s="1" t="s">
        <v>33</v>
      </c>
    </row>
    <row r="121" spans="1:14" x14ac:dyDescent="0.25">
      <c r="A121">
        <v>120</v>
      </c>
      <c r="B121" s="1" t="s">
        <v>251</v>
      </c>
      <c r="C121" s="1" t="s">
        <v>94</v>
      </c>
      <c r="D121" s="1" t="s">
        <v>36</v>
      </c>
      <c r="E121" s="1" t="s">
        <v>229</v>
      </c>
      <c r="F121">
        <v>1</v>
      </c>
      <c r="G121">
        <v>5000</v>
      </c>
      <c r="H121" s="1" t="s">
        <v>139</v>
      </c>
      <c r="I121" s="1" t="s">
        <v>140</v>
      </c>
      <c r="J121" s="2">
        <v>45342</v>
      </c>
      <c r="K121" s="2">
        <v>45369</v>
      </c>
      <c r="L121">
        <v>800</v>
      </c>
      <c r="M121">
        <v>500</v>
      </c>
      <c r="N121" s="1" t="s">
        <v>33</v>
      </c>
    </row>
    <row r="122" spans="1:14" x14ac:dyDescent="0.25">
      <c r="A122">
        <v>121</v>
      </c>
      <c r="B122" s="1" t="s">
        <v>250</v>
      </c>
      <c r="C122" s="1" t="s">
        <v>35</v>
      </c>
      <c r="D122" s="1" t="s">
        <v>78</v>
      </c>
      <c r="E122" s="1" t="s">
        <v>79</v>
      </c>
      <c r="F122">
        <v>1</v>
      </c>
      <c r="G122">
        <v>10000</v>
      </c>
      <c r="H122" s="1" t="s">
        <v>253</v>
      </c>
      <c r="I122" s="1" t="s">
        <v>19</v>
      </c>
      <c r="J122" s="2">
        <v>45366</v>
      </c>
      <c r="K122" s="2">
        <v>45392</v>
      </c>
      <c r="L122">
        <v>1200</v>
      </c>
      <c r="M122">
        <v>800</v>
      </c>
      <c r="N122" s="1" t="s">
        <v>20</v>
      </c>
    </row>
    <row r="123" spans="1:14" x14ac:dyDescent="0.25">
      <c r="A123">
        <v>122</v>
      </c>
      <c r="B123" s="1" t="s">
        <v>233</v>
      </c>
      <c r="C123" s="1" t="s">
        <v>22</v>
      </c>
      <c r="D123" s="1" t="s">
        <v>29</v>
      </c>
      <c r="E123" s="1" t="s">
        <v>216</v>
      </c>
      <c r="F123">
        <v>1</v>
      </c>
      <c r="G123">
        <v>50000</v>
      </c>
      <c r="H123" s="1" t="s">
        <v>146</v>
      </c>
      <c r="I123" s="1" t="s">
        <v>32</v>
      </c>
      <c r="J123" s="2">
        <v>45356</v>
      </c>
      <c r="K123" s="2">
        <v>45379</v>
      </c>
      <c r="L123">
        <v>1800</v>
      </c>
      <c r="M123">
        <v>1000</v>
      </c>
      <c r="N123" s="1" t="s">
        <v>33</v>
      </c>
    </row>
    <row r="124" spans="1:14" x14ac:dyDescent="0.25">
      <c r="A124">
        <v>123</v>
      </c>
      <c r="B124" s="1" t="s">
        <v>234</v>
      </c>
      <c r="C124" s="1" t="s">
        <v>54</v>
      </c>
      <c r="D124" s="1" t="s">
        <v>36</v>
      </c>
      <c r="E124" s="1" t="s">
        <v>138</v>
      </c>
      <c r="F124">
        <v>1</v>
      </c>
      <c r="G124">
        <v>8000</v>
      </c>
      <c r="H124" s="1" t="s">
        <v>139</v>
      </c>
      <c r="I124" s="1" t="s">
        <v>140</v>
      </c>
      <c r="J124" s="2">
        <v>45342</v>
      </c>
      <c r="K124" s="2">
        <v>45369</v>
      </c>
      <c r="L124">
        <v>1000</v>
      </c>
      <c r="M124">
        <v>500</v>
      </c>
      <c r="N124" s="1" t="s">
        <v>33</v>
      </c>
    </row>
    <row r="125" spans="1:14" x14ac:dyDescent="0.25">
      <c r="A125">
        <v>124</v>
      </c>
      <c r="B125" s="1" t="s">
        <v>235</v>
      </c>
      <c r="C125" s="1" t="s">
        <v>66</v>
      </c>
      <c r="D125" s="1" t="s">
        <v>23</v>
      </c>
      <c r="E125" s="1" t="s">
        <v>236</v>
      </c>
      <c r="F125">
        <v>1</v>
      </c>
      <c r="G125">
        <v>40000</v>
      </c>
      <c r="H125" s="1" t="s">
        <v>45</v>
      </c>
      <c r="I125" s="1" t="s">
        <v>46</v>
      </c>
      <c r="J125" s="2">
        <v>45356</v>
      </c>
      <c r="K125" s="2">
        <v>45379</v>
      </c>
      <c r="L125">
        <v>2000</v>
      </c>
      <c r="M125">
        <v>1200</v>
      </c>
      <c r="N125" s="1" t="s">
        <v>20</v>
      </c>
    </row>
    <row r="126" spans="1:14" x14ac:dyDescent="0.25">
      <c r="A126">
        <v>125</v>
      </c>
      <c r="B126" s="1" t="s">
        <v>237</v>
      </c>
      <c r="C126" s="1" t="s">
        <v>48</v>
      </c>
      <c r="D126" s="1" t="s">
        <v>29</v>
      </c>
      <c r="E126" s="1" t="s">
        <v>213</v>
      </c>
      <c r="F126">
        <v>1</v>
      </c>
      <c r="G126">
        <v>20000</v>
      </c>
      <c r="H126" s="1" t="s">
        <v>214</v>
      </c>
      <c r="I126" s="1" t="s">
        <v>32</v>
      </c>
      <c r="J126" s="2">
        <v>45384</v>
      </c>
      <c r="K126" s="2">
        <v>45407</v>
      </c>
      <c r="L126">
        <v>2500</v>
      </c>
      <c r="M126">
        <v>1500</v>
      </c>
      <c r="N126" s="1" t="s">
        <v>20</v>
      </c>
    </row>
    <row r="127" spans="1:14" x14ac:dyDescent="0.25">
      <c r="A127">
        <v>126</v>
      </c>
      <c r="B127" s="1" t="s">
        <v>244</v>
      </c>
      <c r="C127" s="1" t="s">
        <v>245</v>
      </c>
      <c r="D127" s="1" t="s">
        <v>36</v>
      </c>
      <c r="E127" s="1" t="s">
        <v>187</v>
      </c>
      <c r="F127">
        <v>1</v>
      </c>
      <c r="G127">
        <v>5000</v>
      </c>
      <c r="H127" s="1" t="s">
        <v>139</v>
      </c>
      <c r="I127" s="1" t="s">
        <v>140</v>
      </c>
      <c r="J127" s="2">
        <v>45301</v>
      </c>
      <c r="K127" s="2">
        <v>45327</v>
      </c>
      <c r="L127">
        <v>800</v>
      </c>
      <c r="M127">
        <v>500</v>
      </c>
      <c r="N127" s="1" t="s">
        <v>33</v>
      </c>
    </row>
    <row r="128" spans="1:14" x14ac:dyDescent="0.25">
      <c r="A128">
        <v>127</v>
      </c>
      <c r="B128" s="1" t="s">
        <v>246</v>
      </c>
      <c r="C128" s="1" t="s">
        <v>106</v>
      </c>
      <c r="D128" s="1" t="s">
        <v>23</v>
      </c>
      <c r="E128" s="1" t="s">
        <v>149</v>
      </c>
      <c r="F128">
        <v>1</v>
      </c>
      <c r="G128">
        <v>80000</v>
      </c>
      <c r="H128" s="1" t="s">
        <v>252</v>
      </c>
      <c r="I128" s="1" t="s">
        <v>52</v>
      </c>
      <c r="J128" s="2">
        <v>45402</v>
      </c>
      <c r="K128" s="2">
        <v>45427</v>
      </c>
      <c r="L128">
        <v>3000</v>
      </c>
      <c r="M128">
        <v>2000</v>
      </c>
      <c r="N128" s="1" t="s">
        <v>20</v>
      </c>
    </row>
    <row r="129" spans="1:14" x14ac:dyDescent="0.25">
      <c r="A129">
        <v>128</v>
      </c>
      <c r="B129" s="1" t="s">
        <v>247</v>
      </c>
      <c r="C129" s="1" t="s">
        <v>248</v>
      </c>
      <c r="D129" s="1" t="s">
        <v>78</v>
      </c>
      <c r="E129" s="1" t="s">
        <v>37</v>
      </c>
      <c r="F129">
        <v>1</v>
      </c>
      <c r="G129">
        <v>40000</v>
      </c>
      <c r="H129" s="1" t="s">
        <v>167</v>
      </c>
      <c r="I129" s="1" t="s">
        <v>39</v>
      </c>
      <c r="J129" s="2">
        <v>45311</v>
      </c>
      <c r="K129" s="2">
        <v>45337</v>
      </c>
      <c r="L129">
        <v>2000</v>
      </c>
      <c r="M129">
        <v>1200</v>
      </c>
      <c r="N129" s="1" t="s">
        <v>20</v>
      </c>
    </row>
    <row r="130" spans="1:14" x14ac:dyDescent="0.25">
      <c r="A130">
        <v>129</v>
      </c>
      <c r="B130" s="1" t="s">
        <v>249</v>
      </c>
      <c r="C130" s="1" t="s">
        <v>88</v>
      </c>
      <c r="D130" s="1" t="s">
        <v>36</v>
      </c>
      <c r="E130" s="1" t="s">
        <v>229</v>
      </c>
      <c r="F130">
        <v>1</v>
      </c>
      <c r="G130">
        <v>5000</v>
      </c>
      <c r="H130" s="1" t="s">
        <v>139</v>
      </c>
      <c r="I130" s="1" t="s">
        <v>140</v>
      </c>
      <c r="J130" s="2">
        <v>45342</v>
      </c>
      <c r="K130" s="2">
        <v>45369</v>
      </c>
      <c r="L130">
        <v>800</v>
      </c>
      <c r="M130">
        <v>500</v>
      </c>
      <c r="N130" s="1" t="s">
        <v>33</v>
      </c>
    </row>
    <row r="131" spans="1:14" x14ac:dyDescent="0.25">
      <c r="A131">
        <v>130</v>
      </c>
      <c r="B131" s="1" t="s">
        <v>251</v>
      </c>
      <c r="C131" s="1" t="s">
        <v>94</v>
      </c>
      <c r="D131" s="1" t="s">
        <v>36</v>
      </c>
      <c r="E131" s="1" t="s">
        <v>187</v>
      </c>
      <c r="F131">
        <v>1</v>
      </c>
      <c r="G131">
        <v>5000</v>
      </c>
      <c r="H131" s="1" t="s">
        <v>139</v>
      </c>
      <c r="I131" s="1" t="s">
        <v>140</v>
      </c>
      <c r="J131" s="2">
        <v>45301</v>
      </c>
      <c r="K131" s="2">
        <v>45327</v>
      </c>
      <c r="L131">
        <v>800</v>
      </c>
      <c r="M131">
        <v>500</v>
      </c>
      <c r="N131" s="1" t="s">
        <v>33</v>
      </c>
    </row>
    <row r="132" spans="1:14" x14ac:dyDescent="0.25">
      <c r="A132">
        <v>131</v>
      </c>
      <c r="B132" s="1" t="s">
        <v>250</v>
      </c>
      <c r="C132" s="1" t="s">
        <v>35</v>
      </c>
      <c r="D132" s="1" t="s">
        <v>23</v>
      </c>
      <c r="E132" s="1" t="s">
        <v>236</v>
      </c>
      <c r="F132">
        <v>1</v>
      </c>
      <c r="G132">
        <v>40000</v>
      </c>
      <c r="H132" s="1" t="s">
        <v>45</v>
      </c>
      <c r="I132" s="1" t="s">
        <v>46</v>
      </c>
      <c r="J132" s="2">
        <v>45356</v>
      </c>
      <c r="K132" s="2">
        <v>45379</v>
      </c>
      <c r="L132">
        <v>2000</v>
      </c>
      <c r="M132">
        <v>1200</v>
      </c>
      <c r="N132" s="1" t="s">
        <v>20</v>
      </c>
    </row>
    <row r="133" spans="1:14" x14ac:dyDescent="0.25">
      <c r="A133">
        <v>132</v>
      </c>
      <c r="B133" s="1" t="s">
        <v>233</v>
      </c>
      <c r="C133" s="1" t="s">
        <v>22</v>
      </c>
      <c r="D133" s="1" t="s">
        <v>78</v>
      </c>
      <c r="E133" s="1" t="s">
        <v>37</v>
      </c>
      <c r="F133">
        <v>1</v>
      </c>
      <c r="G133">
        <v>40000</v>
      </c>
      <c r="H133" s="1" t="s">
        <v>167</v>
      </c>
      <c r="I133" s="1" t="s">
        <v>39</v>
      </c>
      <c r="J133" s="2">
        <v>45311</v>
      </c>
      <c r="K133" s="2">
        <v>45337</v>
      </c>
      <c r="L133">
        <v>2000</v>
      </c>
      <c r="M133">
        <v>1200</v>
      </c>
      <c r="N133" s="1" t="s">
        <v>20</v>
      </c>
    </row>
    <row r="134" spans="1:14" x14ac:dyDescent="0.25">
      <c r="A134">
        <v>133</v>
      </c>
      <c r="B134" s="1" t="s">
        <v>234</v>
      </c>
      <c r="C134" s="1" t="s">
        <v>54</v>
      </c>
      <c r="D134" s="1" t="s">
        <v>36</v>
      </c>
      <c r="E134" s="1" t="s">
        <v>138</v>
      </c>
      <c r="F134">
        <v>1</v>
      </c>
      <c r="G134">
        <v>8000</v>
      </c>
      <c r="H134" s="1" t="s">
        <v>139</v>
      </c>
      <c r="I134" s="1" t="s">
        <v>140</v>
      </c>
      <c r="J134" s="2">
        <v>45342</v>
      </c>
      <c r="K134" s="2">
        <v>45369</v>
      </c>
      <c r="L134">
        <v>1000</v>
      </c>
      <c r="M134">
        <v>500</v>
      </c>
      <c r="N134" s="1" t="s">
        <v>33</v>
      </c>
    </row>
    <row r="135" spans="1:14" x14ac:dyDescent="0.25">
      <c r="A135">
        <v>134</v>
      </c>
      <c r="B135" s="1" t="s">
        <v>235</v>
      </c>
      <c r="C135" s="1" t="s">
        <v>66</v>
      </c>
      <c r="D135" s="1" t="s">
        <v>29</v>
      </c>
      <c r="E135" s="1" t="s">
        <v>213</v>
      </c>
      <c r="F135">
        <v>1</v>
      </c>
      <c r="G135">
        <v>20000</v>
      </c>
      <c r="H135" s="1" t="s">
        <v>214</v>
      </c>
      <c r="I135" s="1" t="s">
        <v>32</v>
      </c>
      <c r="J135" s="2">
        <v>45384</v>
      </c>
      <c r="K135" s="2">
        <v>45407</v>
      </c>
      <c r="L135">
        <v>2500</v>
      </c>
      <c r="M135">
        <v>1500</v>
      </c>
      <c r="N135" s="1" t="s">
        <v>20</v>
      </c>
    </row>
    <row r="136" spans="1:14" x14ac:dyDescent="0.25">
      <c r="A136">
        <v>135</v>
      </c>
      <c r="B136" s="1" t="s">
        <v>237</v>
      </c>
      <c r="C136" s="1" t="s">
        <v>48</v>
      </c>
      <c r="D136" s="1" t="s">
        <v>23</v>
      </c>
      <c r="E136" s="1" t="s">
        <v>62</v>
      </c>
      <c r="F136">
        <v>1</v>
      </c>
      <c r="G136">
        <v>30000</v>
      </c>
      <c r="H136" s="1" t="s">
        <v>63</v>
      </c>
      <c r="I136" s="1" t="s">
        <v>64</v>
      </c>
      <c r="J136" s="2">
        <v>45350</v>
      </c>
      <c r="K136" s="2">
        <v>45376</v>
      </c>
      <c r="L136">
        <v>1500</v>
      </c>
      <c r="M136">
        <v>800</v>
      </c>
      <c r="N136" s="1" t="s">
        <v>40</v>
      </c>
    </row>
    <row r="137" spans="1:14" x14ac:dyDescent="0.25">
      <c r="A137">
        <v>136</v>
      </c>
      <c r="B137" s="1" t="s">
        <v>244</v>
      </c>
      <c r="C137" s="1" t="s">
        <v>245</v>
      </c>
      <c r="D137" s="1" t="s">
        <v>36</v>
      </c>
      <c r="E137" s="1" t="s">
        <v>187</v>
      </c>
      <c r="F137">
        <v>1</v>
      </c>
      <c r="G137">
        <v>5000</v>
      </c>
      <c r="H137" s="1" t="s">
        <v>139</v>
      </c>
      <c r="I137" s="1" t="s">
        <v>140</v>
      </c>
      <c r="J137" s="2">
        <v>45301</v>
      </c>
      <c r="K137" s="2">
        <v>45327</v>
      </c>
      <c r="L137">
        <v>800</v>
      </c>
      <c r="M137">
        <v>500</v>
      </c>
      <c r="N137" s="1" t="s">
        <v>33</v>
      </c>
    </row>
    <row r="138" spans="1:14" x14ac:dyDescent="0.25">
      <c r="A138">
        <v>137</v>
      </c>
      <c r="B138" s="1" t="s">
        <v>246</v>
      </c>
      <c r="C138" s="1" t="s">
        <v>106</v>
      </c>
      <c r="D138" s="1" t="s">
        <v>23</v>
      </c>
      <c r="E138" s="1" t="s">
        <v>149</v>
      </c>
      <c r="F138">
        <v>1</v>
      </c>
      <c r="G138">
        <v>80000</v>
      </c>
      <c r="H138" s="1" t="s">
        <v>252</v>
      </c>
      <c r="I138" s="1" t="s">
        <v>52</v>
      </c>
      <c r="J138" s="2">
        <v>45402</v>
      </c>
      <c r="K138" s="2">
        <v>45427</v>
      </c>
      <c r="L138">
        <v>3000</v>
      </c>
      <c r="M138">
        <v>2000</v>
      </c>
      <c r="N138" s="1" t="s">
        <v>20</v>
      </c>
    </row>
    <row r="139" spans="1:14" x14ac:dyDescent="0.25">
      <c r="A139">
        <v>138</v>
      </c>
      <c r="B139" s="1" t="s">
        <v>247</v>
      </c>
      <c r="C139" s="1" t="s">
        <v>248</v>
      </c>
      <c r="D139" s="1" t="s">
        <v>78</v>
      </c>
      <c r="E139" s="1" t="s">
        <v>79</v>
      </c>
      <c r="F139">
        <v>1</v>
      </c>
      <c r="G139">
        <v>10000</v>
      </c>
      <c r="H139" s="1" t="s">
        <v>253</v>
      </c>
      <c r="I139" s="1" t="s">
        <v>19</v>
      </c>
      <c r="J139" s="2">
        <v>45366</v>
      </c>
      <c r="K139" s="2">
        <v>45392</v>
      </c>
      <c r="L139">
        <v>1200</v>
      </c>
      <c r="M139">
        <v>800</v>
      </c>
      <c r="N139" s="1" t="s">
        <v>20</v>
      </c>
    </row>
    <row r="140" spans="1:14" x14ac:dyDescent="0.25">
      <c r="A140">
        <v>139</v>
      </c>
      <c r="B140" s="1" t="s">
        <v>249</v>
      </c>
      <c r="C140" s="1" t="s">
        <v>88</v>
      </c>
      <c r="D140" s="1" t="s">
        <v>29</v>
      </c>
      <c r="E140" s="1" t="s">
        <v>216</v>
      </c>
      <c r="F140">
        <v>1</v>
      </c>
      <c r="G140">
        <v>50000</v>
      </c>
      <c r="H140" s="1" t="s">
        <v>146</v>
      </c>
      <c r="I140" s="1" t="s">
        <v>32</v>
      </c>
      <c r="J140" s="2">
        <v>45356</v>
      </c>
      <c r="K140" s="2">
        <v>45379</v>
      </c>
      <c r="L140">
        <v>1800</v>
      </c>
      <c r="M140">
        <v>1000</v>
      </c>
      <c r="N140" s="1" t="s">
        <v>33</v>
      </c>
    </row>
    <row r="141" spans="1:14" x14ac:dyDescent="0.25">
      <c r="A141">
        <v>140</v>
      </c>
      <c r="B141" s="1" t="s">
        <v>251</v>
      </c>
      <c r="C141" s="1" t="s">
        <v>94</v>
      </c>
      <c r="D141" s="1" t="s">
        <v>36</v>
      </c>
      <c r="E141" s="1" t="s">
        <v>229</v>
      </c>
      <c r="F141">
        <v>1</v>
      </c>
      <c r="G141">
        <v>5000</v>
      </c>
      <c r="H141" s="1" t="s">
        <v>139</v>
      </c>
      <c r="I141" s="1" t="s">
        <v>140</v>
      </c>
      <c r="J141" s="2">
        <v>45342</v>
      </c>
      <c r="K141" s="2">
        <v>45369</v>
      </c>
      <c r="L141">
        <v>800</v>
      </c>
      <c r="M141">
        <v>500</v>
      </c>
      <c r="N141" s="1" t="s">
        <v>33</v>
      </c>
    </row>
    <row r="142" spans="1:14" x14ac:dyDescent="0.25">
      <c r="A142">
        <v>141</v>
      </c>
      <c r="B142" s="1" t="s">
        <v>250</v>
      </c>
      <c r="C142" s="1" t="s">
        <v>35</v>
      </c>
      <c r="D142" s="1" t="s">
        <v>36</v>
      </c>
      <c r="E142" s="1" t="s">
        <v>187</v>
      </c>
      <c r="F142">
        <v>1</v>
      </c>
      <c r="G142">
        <v>5000</v>
      </c>
      <c r="H142" s="1" t="s">
        <v>139</v>
      </c>
      <c r="I142" s="1" t="s">
        <v>140</v>
      </c>
      <c r="J142" s="2">
        <v>45301</v>
      </c>
      <c r="K142" s="2">
        <v>45327</v>
      </c>
      <c r="L142">
        <v>800</v>
      </c>
      <c r="M142">
        <v>500</v>
      </c>
      <c r="N142" s="1" t="s">
        <v>33</v>
      </c>
    </row>
    <row r="143" spans="1:14" x14ac:dyDescent="0.25">
      <c r="A143">
        <v>142</v>
      </c>
      <c r="B143" s="1" t="s">
        <v>233</v>
      </c>
      <c r="C143" s="1" t="s">
        <v>22</v>
      </c>
      <c r="D143" s="1" t="s">
        <v>23</v>
      </c>
      <c r="E143" s="1" t="s">
        <v>236</v>
      </c>
      <c r="F143">
        <v>1</v>
      </c>
      <c r="G143">
        <v>40000</v>
      </c>
      <c r="H143" s="1" t="s">
        <v>45</v>
      </c>
      <c r="I143" s="1" t="s">
        <v>46</v>
      </c>
      <c r="J143" s="2">
        <v>45356</v>
      </c>
      <c r="K143" s="2">
        <v>45379</v>
      </c>
      <c r="L143">
        <v>2000</v>
      </c>
      <c r="M143">
        <v>1200</v>
      </c>
      <c r="N143" s="1" t="s">
        <v>20</v>
      </c>
    </row>
    <row r="144" spans="1:14" x14ac:dyDescent="0.25">
      <c r="A144">
        <v>143</v>
      </c>
      <c r="B144" s="1" t="s">
        <v>234</v>
      </c>
      <c r="C144" s="1" t="s">
        <v>54</v>
      </c>
      <c r="D144" s="1" t="s">
        <v>29</v>
      </c>
      <c r="E144" s="1" t="s">
        <v>213</v>
      </c>
      <c r="F144">
        <v>1</v>
      </c>
      <c r="G144">
        <v>20000</v>
      </c>
      <c r="H144" s="1" t="s">
        <v>214</v>
      </c>
      <c r="I144" s="1" t="s">
        <v>32</v>
      </c>
      <c r="J144" s="2">
        <v>45384</v>
      </c>
      <c r="K144" s="2">
        <v>45407</v>
      </c>
      <c r="L144">
        <v>2500</v>
      </c>
      <c r="M144">
        <v>1500</v>
      </c>
      <c r="N144" s="1" t="s">
        <v>20</v>
      </c>
    </row>
    <row r="145" spans="1:14" x14ac:dyDescent="0.25">
      <c r="A145">
        <v>144</v>
      </c>
      <c r="B145" s="1" t="s">
        <v>235</v>
      </c>
      <c r="C145" s="1" t="s">
        <v>66</v>
      </c>
      <c r="D145" s="1" t="s">
        <v>36</v>
      </c>
      <c r="E145" s="1" t="s">
        <v>138</v>
      </c>
      <c r="F145">
        <v>1</v>
      </c>
      <c r="G145">
        <v>8000</v>
      </c>
      <c r="H145" s="1" t="s">
        <v>139</v>
      </c>
      <c r="I145" s="1" t="s">
        <v>140</v>
      </c>
      <c r="J145" s="2">
        <v>45342</v>
      </c>
      <c r="K145" s="2">
        <v>45369</v>
      </c>
      <c r="L145">
        <v>1000</v>
      </c>
      <c r="M145">
        <v>500</v>
      </c>
      <c r="N145" s="1" t="s">
        <v>33</v>
      </c>
    </row>
    <row r="146" spans="1:14" x14ac:dyDescent="0.25">
      <c r="A146">
        <v>145</v>
      </c>
      <c r="B146" s="1" t="s">
        <v>237</v>
      </c>
      <c r="C146" s="1" t="s">
        <v>48</v>
      </c>
      <c r="D146" s="1" t="s">
        <v>78</v>
      </c>
      <c r="E146" s="1" t="s">
        <v>37</v>
      </c>
      <c r="F146">
        <v>1</v>
      </c>
      <c r="G146">
        <v>40000</v>
      </c>
      <c r="H146" s="1" t="s">
        <v>167</v>
      </c>
      <c r="I146" s="1" t="s">
        <v>39</v>
      </c>
      <c r="J146" s="2">
        <v>45311</v>
      </c>
      <c r="K146" s="2">
        <v>45337</v>
      </c>
      <c r="L146">
        <v>2000</v>
      </c>
      <c r="M146">
        <v>1200</v>
      </c>
      <c r="N146" s="1" t="s">
        <v>20</v>
      </c>
    </row>
    <row r="147" spans="1:14" x14ac:dyDescent="0.25">
      <c r="A147">
        <v>146</v>
      </c>
      <c r="B147" s="1" t="s">
        <v>244</v>
      </c>
      <c r="C147" s="1" t="s">
        <v>245</v>
      </c>
      <c r="D147" s="1" t="s">
        <v>23</v>
      </c>
      <c r="E147" s="1" t="s">
        <v>149</v>
      </c>
      <c r="F147">
        <v>1</v>
      </c>
      <c r="G147">
        <v>80000</v>
      </c>
      <c r="H147" s="1" t="s">
        <v>252</v>
      </c>
      <c r="I147" s="1" t="s">
        <v>52</v>
      </c>
      <c r="J147" s="2">
        <v>45402</v>
      </c>
      <c r="K147" s="2">
        <v>45427</v>
      </c>
      <c r="L147">
        <v>3000</v>
      </c>
      <c r="M147">
        <v>2000</v>
      </c>
      <c r="N147" s="1" t="s">
        <v>20</v>
      </c>
    </row>
    <row r="148" spans="1:14" x14ac:dyDescent="0.25">
      <c r="A148">
        <v>147</v>
      </c>
      <c r="B148" s="1" t="s">
        <v>246</v>
      </c>
      <c r="C148" s="1" t="s">
        <v>106</v>
      </c>
      <c r="D148" s="1" t="s">
        <v>78</v>
      </c>
      <c r="E148" s="1" t="s">
        <v>79</v>
      </c>
      <c r="F148">
        <v>1</v>
      </c>
      <c r="G148">
        <v>10000</v>
      </c>
      <c r="H148" s="1" t="s">
        <v>253</v>
      </c>
      <c r="I148" s="1" t="s">
        <v>19</v>
      </c>
      <c r="J148" s="2">
        <v>45366</v>
      </c>
      <c r="K148" s="2">
        <v>45392</v>
      </c>
      <c r="L148">
        <v>1200</v>
      </c>
      <c r="M148">
        <v>800</v>
      </c>
      <c r="N148" s="1" t="s">
        <v>20</v>
      </c>
    </row>
    <row r="149" spans="1:14" x14ac:dyDescent="0.25">
      <c r="A149">
        <v>148</v>
      </c>
      <c r="B149" s="1" t="s">
        <v>247</v>
      </c>
      <c r="C149" s="1" t="s">
        <v>248</v>
      </c>
      <c r="D149" s="1" t="s">
        <v>29</v>
      </c>
      <c r="E149" s="1" t="s">
        <v>216</v>
      </c>
      <c r="F149">
        <v>1</v>
      </c>
      <c r="G149">
        <v>50000</v>
      </c>
      <c r="H149" s="1" t="s">
        <v>146</v>
      </c>
      <c r="I149" s="1" t="s">
        <v>32</v>
      </c>
      <c r="J149" s="2">
        <v>45356</v>
      </c>
      <c r="K149" s="2">
        <v>45379</v>
      </c>
      <c r="L149">
        <v>1800</v>
      </c>
      <c r="M149">
        <v>1000</v>
      </c>
      <c r="N149" s="1" t="s">
        <v>33</v>
      </c>
    </row>
    <row r="150" spans="1:14" x14ac:dyDescent="0.25">
      <c r="A150">
        <v>149</v>
      </c>
      <c r="B150" s="1" t="s">
        <v>249</v>
      </c>
      <c r="C150" s="1" t="s">
        <v>88</v>
      </c>
      <c r="D150" s="1" t="s">
        <v>36</v>
      </c>
      <c r="E150" s="1" t="s">
        <v>229</v>
      </c>
      <c r="F150">
        <v>1</v>
      </c>
      <c r="G150">
        <v>5000</v>
      </c>
      <c r="H150" s="1" t="s">
        <v>139</v>
      </c>
      <c r="I150" s="1" t="s">
        <v>140</v>
      </c>
      <c r="J150" s="2">
        <v>45342</v>
      </c>
      <c r="K150" s="2">
        <v>45369</v>
      </c>
      <c r="L150">
        <v>800</v>
      </c>
      <c r="M150">
        <v>500</v>
      </c>
      <c r="N150" s="1" t="s">
        <v>33</v>
      </c>
    </row>
    <row r="151" spans="1:14" x14ac:dyDescent="0.25">
      <c r="A151">
        <v>150</v>
      </c>
      <c r="B151" s="1" t="s">
        <v>251</v>
      </c>
      <c r="C151" s="1" t="s">
        <v>94</v>
      </c>
      <c r="D151" s="1" t="s">
        <v>36</v>
      </c>
      <c r="E151" s="1" t="s">
        <v>187</v>
      </c>
      <c r="F151">
        <v>1</v>
      </c>
      <c r="G151">
        <v>5000</v>
      </c>
      <c r="H151" s="1" t="s">
        <v>139</v>
      </c>
      <c r="I151" s="1" t="s">
        <v>140</v>
      </c>
      <c r="J151" s="2">
        <v>45301</v>
      </c>
      <c r="K151" s="2">
        <v>45327</v>
      </c>
      <c r="L151">
        <v>800</v>
      </c>
      <c r="M151">
        <v>500</v>
      </c>
      <c r="N151" s="1" t="s">
        <v>33</v>
      </c>
    </row>
    <row r="152" spans="1:14" x14ac:dyDescent="0.25">
      <c r="A152">
        <v>151</v>
      </c>
      <c r="B152" s="1" t="s">
        <v>250</v>
      </c>
      <c r="C152" s="1" t="s">
        <v>35</v>
      </c>
      <c r="D152" s="1" t="s">
        <v>23</v>
      </c>
      <c r="E152" s="1" t="s">
        <v>62</v>
      </c>
      <c r="F152">
        <v>1</v>
      </c>
      <c r="G152">
        <v>30000</v>
      </c>
      <c r="H152" s="1" t="s">
        <v>63</v>
      </c>
      <c r="I152" s="1" t="s">
        <v>64</v>
      </c>
      <c r="J152" s="2">
        <v>45350</v>
      </c>
      <c r="K152" s="2">
        <v>45376</v>
      </c>
      <c r="L152">
        <v>1500</v>
      </c>
      <c r="M152">
        <v>800</v>
      </c>
      <c r="N152" s="1" t="s">
        <v>40</v>
      </c>
    </row>
    <row r="153" spans="1:14" x14ac:dyDescent="0.25">
      <c r="A153">
        <v>152</v>
      </c>
      <c r="B153" s="1" t="s">
        <v>233</v>
      </c>
      <c r="C153" s="1" t="s">
        <v>22</v>
      </c>
      <c r="D153" s="1" t="s">
        <v>29</v>
      </c>
      <c r="E153" s="1" t="s">
        <v>213</v>
      </c>
      <c r="F153">
        <v>1</v>
      </c>
      <c r="G153">
        <v>20000</v>
      </c>
      <c r="H153" s="1" t="s">
        <v>214</v>
      </c>
      <c r="I153" s="1" t="s">
        <v>32</v>
      </c>
      <c r="J153" s="2">
        <v>45384</v>
      </c>
      <c r="K153" s="2">
        <v>45407</v>
      </c>
      <c r="L153">
        <v>2500</v>
      </c>
      <c r="M153">
        <v>1500</v>
      </c>
      <c r="N153" s="1" t="s">
        <v>20</v>
      </c>
    </row>
    <row r="154" spans="1:14" x14ac:dyDescent="0.25">
      <c r="A154">
        <v>153</v>
      </c>
      <c r="B154" s="1" t="s">
        <v>234</v>
      </c>
      <c r="C154" s="1" t="s">
        <v>54</v>
      </c>
      <c r="D154" s="1" t="s">
        <v>36</v>
      </c>
      <c r="E154" s="1" t="s">
        <v>138</v>
      </c>
      <c r="F154">
        <v>1</v>
      </c>
      <c r="G154">
        <v>8000</v>
      </c>
      <c r="H154" s="1" t="s">
        <v>139</v>
      </c>
      <c r="I154" s="1" t="s">
        <v>140</v>
      </c>
      <c r="J154" s="2">
        <v>45342</v>
      </c>
      <c r="K154" s="2">
        <v>45369</v>
      </c>
      <c r="L154">
        <v>1000</v>
      </c>
      <c r="M154">
        <v>500</v>
      </c>
      <c r="N154" s="1" t="s">
        <v>33</v>
      </c>
    </row>
    <row r="155" spans="1:14" x14ac:dyDescent="0.25">
      <c r="A155">
        <v>154</v>
      </c>
      <c r="B155" s="1" t="s">
        <v>235</v>
      </c>
      <c r="C155" s="1" t="s">
        <v>66</v>
      </c>
      <c r="D155" s="1" t="s">
        <v>29</v>
      </c>
      <c r="E155" s="1" t="s">
        <v>242</v>
      </c>
      <c r="F155">
        <v>1</v>
      </c>
      <c r="G155">
        <v>60000</v>
      </c>
      <c r="H155" s="1" t="s">
        <v>243</v>
      </c>
      <c r="I155" s="1" t="s">
        <v>98</v>
      </c>
      <c r="J155" s="2">
        <v>45392</v>
      </c>
      <c r="K155" s="2">
        <v>45417</v>
      </c>
      <c r="L155">
        <v>2500</v>
      </c>
      <c r="M155">
        <v>1500</v>
      </c>
      <c r="N155" s="1" t="s">
        <v>20</v>
      </c>
    </row>
    <row r="156" spans="1:14" x14ac:dyDescent="0.25">
      <c r="A156">
        <v>155</v>
      </c>
      <c r="B156" s="1" t="s">
        <v>237</v>
      </c>
      <c r="C156" s="1" t="s">
        <v>48</v>
      </c>
      <c r="D156" s="1" t="s">
        <v>23</v>
      </c>
      <c r="E156" s="1" t="s">
        <v>24</v>
      </c>
      <c r="F156">
        <v>1</v>
      </c>
      <c r="G156">
        <v>200000</v>
      </c>
      <c r="H156" s="1" t="s">
        <v>254</v>
      </c>
      <c r="I156" s="1" t="s">
        <v>19</v>
      </c>
      <c r="J156" s="2">
        <v>45352</v>
      </c>
      <c r="K156" s="2">
        <v>45381</v>
      </c>
      <c r="L156">
        <v>5000</v>
      </c>
      <c r="M156">
        <v>3000</v>
      </c>
      <c r="N156" s="1" t="s">
        <v>20</v>
      </c>
    </row>
    <row r="157" spans="1:14" x14ac:dyDescent="0.25">
      <c r="A157">
        <v>156</v>
      </c>
      <c r="B157" s="1" t="s">
        <v>244</v>
      </c>
      <c r="C157" s="1" t="s">
        <v>245</v>
      </c>
      <c r="D157" s="1" t="s">
        <v>36</v>
      </c>
      <c r="E157" s="1" t="s">
        <v>229</v>
      </c>
      <c r="F157">
        <v>1</v>
      </c>
      <c r="G157">
        <v>5000</v>
      </c>
      <c r="H157" s="1" t="s">
        <v>139</v>
      </c>
      <c r="I157" s="1" t="s">
        <v>140</v>
      </c>
      <c r="J157" s="2">
        <v>45301</v>
      </c>
      <c r="K157" s="2">
        <v>45327</v>
      </c>
      <c r="L157">
        <v>800</v>
      </c>
      <c r="M157">
        <v>500</v>
      </c>
      <c r="N157" s="1" t="s">
        <v>33</v>
      </c>
    </row>
    <row r="158" spans="1:14" x14ac:dyDescent="0.25">
      <c r="A158">
        <v>157</v>
      </c>
      <c r="B158" s="1" t="s">
        <v>246</v>
      </c>
      <c r="C158" s="1" t="s">
        <v>106</v>
      </c>
      <c r="D158" s="1" t="s">
        <v>78</v>
      </c>
      <c r="E158" s="1" t="s">
        <v>79</v>
      </c>
      <c r="F158">
        <v>1</v>
      </c>
      <c r="G158">
        <v>10000</v>
      </c>
      <c r="H158" s="1" t="s">
        <v>253</v>
      </c>
      <c r="I158" s="1" t="s">
        <v>19</v>
      </c>
      <c r="J158" s="2">
        <v>45366</v>
      </c>
      <c r="K158" s="2">
        <v>45392</v>
      </c>
      <c r="L158">
        <v>1200</v>
      </c>
      <c r="M158">
        <v>800</v>
      </c>
      <c r="N158" s="1" t="s">
        <v>20</v>
      </c>
    </row>
    <row r="159" spans="1:14" x14ac:dyDescent="0.25">
      <c r="A159">
        <v>158</v>
      </c>
      <c r="B159" s="1" t="s">
        <v>247</v>
      </c>
      <c r="C159" s="1" t="s">
        <v>248</v>
      </c>
      <c r="D159" s="1" t="s">
        <v>29</v>
      </c>
      <c r="E159" s="1" t="s">
        <v>216</v>
      </c>
      <c r="F159">
        <v>1</v>
      </c>
      <c r="G159">
        <v>50000</v>
      </c>
      <c r="H159" s="1" t="s">
        <v>146</v>
      </c>
      <c r="I159" s="1" t="s">
        <v>32</v>
      </c>
      <c r="J159" s="2">
        <v>45356</v>
      </c>
      <c r="K159" s="2">
        <v>45379</v>
      </c>
      <c r="L159">
        <v>1800</v>
      </c>
      <c r="M159">
        <v>1000</v>
      </c>
      <c r="N159" s="1" t="s">
        <v>33</v>
      </c>
    </row>
    <row r="160" spans="1:14" x14ac:dyDescent="0.25">
      <c r="A160">
        <v>159</v>
      </c>
      <c r="B160" s="1" t="s">
        <v>249</v>
      </c>
      <c r="C160" s="1" t="s">
        <v>88</v>
      </c>
      <c r="D160" s="1" t="s">
        <v>36</v>
      </c>
      <c r="E160" s="1" t="s">
        <v>138</v>
      </c>
      <c r="F160">
        <v>1</v>
      </c>
      <c r="G160">
        <v>8000</v>
      </c>
      <c r="H160" s="1" t="s">
        <v>139</v>
      </c>
      <c r="I160" s="1" t="s">
        <v>140</v>
      </c>
      <c r="J160" s="2">
        <v>45342</v>
      </c>
      <c r="K160" s="2">
        <v>45369</v>
      </c>
      <c r="L160">
        <v>1000</v>
      </c>
      <c r="M160">
        <v>500</v>
      </c>
      <c r="N160" s="1" t="s">
        <v>33</v>
      </c>
    </row>
    <row r="161" spans="1:14" x14ac:dyDescent="0.25">
      <c r="A161">
        <v>160</v>
      </c>
      <c r="B161" s="1" t="s">
        <v>251</v>
      </c>
      <c r="C161" s="1" t="s">
        <v>94</v>
      </c>
      <c r="D161" s="1" t="s">
        <v>36</v>
      </c>
      <c r="E161" s="1" t="s">
        <v>187</v>
      </c>
      <c r="F161">
        <v>1</v>
      </c>
      <c r="G161">
        <v>5000</v>
      </c>
      <c r="H161" s="1" t="s">
        <v>139</v>
      </c>
      <c r="I161" s="1" t="s">
        <v>140</v>
      </c>
      <c r="J161" s="2">
        <v>45301</v>
      </c>
      <c r="K161" s="2">
        <v>45327</v>
      </c>
      <c r="L161">
        <v>800</v>
      </c>
      <c r="M161">
        <v>500</v>
      </c>
      <c r="N161" s="1" t="s">
        <v>33</v>
      </c>
    </row>
    <row r="162" spans="1:14" x14ac:dyDescent="0.25">
      <c r="A162">
        <v>161</v>
      </c>
      <c r="B162" s="1" t="s">
        <v>250</v>
      </c>
      <c r="C162" s="1" t="s">
        <v>35</v>
      </c>
      <c r="D162" s="1" t="s">
        <v>23</v>
      </c>
      <c r="E162" s="1" t="s">
        <v>62</v>
      </c>
      <c r="F162">
        <v>7</v>
      </c>
      <c r="G162">
        <v>30000</v>
      </c>
      <c r="H162" s="1" t="s">
        <v>63</v>
      </c>
      <c r="I162" s="1" t="s">
        <v>64</v>
      </c>
      <c r="J162" s="2">
        <v>45350</v>
      </c>
      <c r="K162" s="2">
        <v>45376</v>
      </c>
      <c r="L162">
        <v>1500</v>
      </c>
      <c r="M162">
        <v>800</v>
      </c>
      <c r="N162" s="1" t="s">
        <v>40</v>
      </c>
    </row>
    <row r="163" spans="1:14" x14ac:dyDescent="0.25">
      <c r="A163">
        <v>162</v>
      </c>
      <c r="B163" s="1" t="s">
        <v>233</v>
      </c>
      <c r="C163" s="1" t="s">
        <v>22</v>
      </c>
      <c r="D163" s="1" t="s">
        <v>36</v>
      </c>
      <c r="E163" s="1" t="s">
        <v>138</v>
      </c>
      <c r="F163">
        <v>5</v>
      </c>
      <c r="G163">
        <v>8000</v>
      </c>
      <c r="H163" s="1" t="s">
        <v>139</v>
      </c>
      <c r="I163" s="1" t="s">
        <v>140</v>
      </c>
      <c r="J163" s="2">
        <v>45342</v>
      </c>
      <c r="K163" s="2">
        <v>45369</v>
      </c>
      <c r="L163">
        <v>1000</v>
      </c>
      <c r="M163">
        <v>500</v>
      </c>
      <c r="N163" s="1" t="s">
        <v>33</v>
      </c>
    </row>
    <row r="164" spans="1:14" x14ac:dyDescent="0.25">
      <c r="A164">
        <v>163</v>
      </c>
      <c r="B164" s="1" t="s">
        <v>234</v>
      </c>
      <c r="C164" s="1" t="s">
        <v>54</v>
      </c>
      <c r="D164" s="1" t="s">
        <v>29</v>
      </c>
      <c r="E164" s="1" t="s">
        <v>242</v>
      </c>
      <c r="F164">
        <v>3</v>
      </c>
      <c r="G164">
        <v>60000</v>
      </c>
      <c r="H164" s="1" t="s">
        <v>243</v>
      </c>
      <c r="I164" s="1" t="s">
        <v>98</v>
      </c>
      <c r="J164" s="2">
        <v>45392</v>
      </c>
      <c r="K164" s="2">
        <v>45417</v>
      </c>
      <c r="L164">
        <v>2500</v>
      </c>
      <c r="M164">
        <v>1500</v>
      </c>
      <c r="N164" s="1" t="s">
        <v>20</v>
      </c>
    </row>
    <row r="165" spans="1:14" x14ac:dyDescent="0.25">
      <c r="A165">
        <v>164</v>
      </c>
      <c r="B165" s="1" t="s">
        <v>235</v>
      </c>
      <c r="C165" s="1" t="s">
        <v>66</v>
      </c>
      <c r="D165" s="1" t="s">
        <v>78</v>
      </c>
      <c r="E165" s="1" t="s">
        <v>79</v>
      </c>
      <c r="F165">
        <v>2</v>
      </c>
      <c r="G165">
        <v>10000</v>
      </c>
      <c r="H165" s="1" t="s">
        <v>253</v>
      </c>
      <c r="I165" s="1" t="s">
        <v>19</v>
      </c>
      <c r="J165" s="2">
        <v>45366</v>
      </c>
      <c r="K165" s="2">
        <v>45392</v>
      </c>
      <c r="L165">
        <v>1200</v>
      </c>
      <c r="M165">
        <v>800</v>
      </c>
      <c r="N165" s="1" t="s">
        <v>20</v>
      </c>
    </row>
    <row r="166" spans="1:14" x14ac:dyDescent="0.25">
      <c r="A166">
        <v>165</v>
      </c>
      <c r="B166" s="1" t="s">
        <v>237</v>
      </c>
      <c r="C166" s="1" t="s">
        <v>48</v>
      </c>
      <c r="D166" s="1" t="s">
        <v>29</v>
      </c>
      <c r="E166" s="1" t="s">
        <v>216</v>
      </c>
      <c r="F166">
        <v>1</v>
      </c>
      <c r="G166">
        <v>50000</v>
      </c>
      <c r="H166" s="1" t="s">
        <v>146</v>
      </c>
      <c r="I166" s="1" t="s">
        <v>32</v>
      </c>
      <c r="J166" s="2">
        <v>45356</v>
      </c>
      <c r="K166" s="2">
        <v>45379</v>
      </c>
      <c r="L166">
        <v>1800</v>
      </c>
      <c r="M166">
        <v>1000</v>
      </c>
      <c r="N166" s="1" t="s">
        <v>33</v>
      </c>
    </row>
    <row r="167" spans="1:14" x14ac:dyDescent="0.25">
      <c r="A167">
        <v>166</v>
      </c>
      <c r="B167" s="1" t="s">
        <v>244</v>
      </c>
      <c r="C167" s="1" t="s">
        <v>245</v>
      </c>
      <c r="D167" s="1" t="s">
        <v>23</v>
      </c>
      <c r="E167" s="1" t="s">
        <v>24</v>
      </c>
      <c r="F167">
        <v>8</v>
      </c>
      <c r="G167">
        <v>200000</v>
      </c>
      <c r="H167" s="1" t="s">
        <v>254</v>
      </c>
      <c r="I167" s="1" t="s">
        <v>19</v>
      </c>
      <c r="J167" s="2">
        <v>45352</v>
      </c>
      <c r="K167" s="2">
        <v>45381</v>
      </c>
      <c r="L167">
        <v>5000</v>
      </c>
      <c r="M167">
        <v>3000</v>
      </c>
      <c r="N167" s="1" t="s">
        <v>20</v>
      </c>
    </row>
    <row r="168" spans="1:14" x14ac:dyDescent="0.25">
      <c r="A168">
        <v>167</v>
      </c>
      <c r="B168" s="1" t="s">
        <v>246</v>
      </c>
      <c r="C168" s="1" t="s">
        <v>106</v>
      </c>
      <c r="D168" s="1" t="s">
        <v>36</v>
      </c>
      <c r="E168" s="1" t="s">
        <v>229</v>
      </c>
      <c r="F168">
        <v>4</v>
      </c>
      <c r="G168">
        <v>5000</v>
      </c>
      <c r="H168" s="1" t="s">
        <v>139</v>
      </c>
      <c r="I168" s="1" t="s">
        <v>140</v>
      </c>
      <c r="J168" s="2">
        <v>45342</v>
      </c>
      <c r="K168" s="2">
        <v>45369</v>
      </c>
      <c r="L168">
        <v>800</v>
      </c>
      <c r="M168">
        <v>500</v>
      </c>
      <c r="N168" s="1" t="s">
        <v>33</v>
      </c>
    </row>
    <row r="169" spans="1:14" x14ac:dyDescent="0.25">
      <c r="A169">
        <v>168</v>
      </c>
      <c r="B169" s="1" t="s">
        <v>247</v>
      </c>
      <c r="C169" s="1" t="s">
        <v>248</v>
      </c>
      <c r="D169" s="1" t="s">
        <v>23</v>
      </c>
      <c r="E169" s="1" t="s">
        <v>149</v>
      </c>
      <c r="F169">
        <v>10</v>
      </c>
      <c r="G169">
        <v>80000</v>
      </c>
      <c r="H169" s="1" t="s">
        <v>252</v>
      </c>
      <c r="I169" s="1" t="s">
        <v>52</v>
      </c>
      <c r="J169" s="2">
        <v>45402</v>
      </c>
      <c r="K169" s="2">
        <v>45427</v>
      </c>
      <c r="L169">
        <v>3000</v>
      </c>
      <c r="M169">
        <v>2000</v>
      </c>
      <c r="N169" s="1" t="s">
        <v>20</v>
      </c>
    </row>
    <row r="170" spans="1:14" x14ac:dyDescent="0.25">
      <c r="A170">
        <v>169</v>
      </c>
      <c r="B170" s="1" t="s">
        <v>249</v>
      </c>
      <c r="C170" s="1" t="s">
        <v>88</v>
      </c>
      <c r="D170" s="1" t="s">
        <v>78</v>
      </c>
      <c r="E170" s="1" t="s">
        <v>79</v>
      </c>
      <c r="F170">
        <v>6</v>
      </c>
      <c r="G170">
        <v>10000</v>
      </c>
      <c r="H170" s="1" t="s">
        <v>253</v>
      </c>
      <c r="I170" s="1" t="s">
        <v>19</v>
      </c>
      <c r="J170" s="2">
        <v>45366</v>
      </c>
      <c r="K170" s="2">
        <v>45392</v>
      </c>
      <c r="L170">
        <v>1200</v>
      </c>
      <c r="M170">
        <v>800</v>
      </c>
      <c r="N170" s="1" t="s">
        <v>20</v>
      </c>
    </row>
    <row r="171" spans="1:14" x14ac:dyDescent="0.25">
      <c r="A171">
        <v>170</v>
      </c>
      <c r="B171" s="1" t="s">
        <v>251</v>
      </c>
      <c r="C171" s="1" t="s">
        <v>94</v>
      </c>
      <c r="D171" s="1" t="s">
        <v>36</v>
      </c>
      <c r="E171" s="1" t="s">
        <v>138</v>
      </c>
      <c r="F171">
        <v>9</v>
      </c>
      <c r="G171">
        <v>8000</v>
      </c>
      <c r="H171" s="1" t="s">
        <v>139</v>
      </c>
      <c r="I171" s="1" t="s">
        <v>140</v>
      </c>
      <c r="J171" s="2">
        <v>45342</v>
      </c>
      <c r="K171" s="2">
        <v>45369</v>
      </c>
      <c r="L171">
        <v>1000</v>
      </c>
      <c r="M171">
        <v>500</v>
      </c>
      <c r="N171" s="1" t="s">
        <v>33</v>
      </c>
    </row>
    <row r="172" spans="1:14" x14ac:dyDescent="0.25">
      <c r="A172">
        <v>171</v>
      </c>
      <c r="B172" s="1" t="s">
        <v>250</v>
      </c>
      <c r="C172" s="1" t="s">
        <v>35</v>
      </c>
      <c r="D172" s="1" t="s">
        <v>78</v>
      </c>
      <c r="E172" s="1" t="s">
        <v>37</v>
      </c>
      <c r="F172">
        <v>3</v>
      </c>
      <c r="G172">
        <v>40000</v>
      </c>
      <c r="H172" s="1" t="s">
        <v>167</v>
      </c>
      <c r="I172" s="1" t="s">
        <v>39</v>
      </c>
      <c r="J172" s="2">
        <v>45311</v>
      </c>
      <c r="K172" s="2">
        <v>45337</v>
      </c>
      <c r="L172">
        <v>2000</v>
      </c>
      <c r="M172">
        <v>1200</v>
      </c>
      <c r="N172" s="1" t="s">
        <v>20</v>
      </c>
    </row>
    <row r="173" spans="1:14" x14ac:dyDescent="0.25">
      <c r="A173">
        <v>172</v>
      </c>
      <c r="B173" s="1" t="s">
        <v>233</v>
      </c>
      <c r="C173" s="1" t="s">
        <v>22</v>
      </c>
      <c r="D173" s="1" t="s">
        <v>36</v>
      </c>
      <c r="E173" s="1" t="s">
        <v>187</v>
      </c>
      <c r="F173">
        <v>4</v>
      </c>
      <c r="G173">
        <v>5000</v>
      </c>
      <c r="H173" s="1" t="s">
        <v>139</v>
      </c>
      <c r="I173" s="1" t="s">
        <v>140</v>
      </c>
      <c r="J173" s="2">
        <v>45301</v>
      </c>
      <c r="K173" s="2">
        <v>45327</v>
      </c>
      <c r="L173">
        <v>800</v>
      </c>
      <c r="M173">
        <v>500</v>
      </c>
      <c r="N173" s="1" t="s">
        <v>33</v>
      </c>
    </row>
    <row r="174" spans="1:14" x14ac:dyDescent="0.25">
      <c r="A174">
        <v>173</v>
      </c>
      <c r="B174" s="1" t="s">
        <v>234</v>
      </c>
      <c r="C174" s="1" t="s">
        <v>54</v>
      </c>
      <c r="D174" s="1" t="s">
        <v>23</v>
      </c>
      <c r="E174" s="1" t="s">
        <v>62</v>
      </c>
      <c r="F174">
        <v>2</v>
      </c>
      <c r="G174">
        <v>30000</v>
      </c>
      <c r="H174" s="1" t="s">
        <v>63</v>
      </c>
      <c r="I174" s="1" t="s">
        <v>64</v>
      </c>
      <c r="J174" s="2">
        <v>45350</v>
      </c>
      <c r="K174" s="2">
        <v>45376</v>
      </c>
      <c r="L174">
        <v>1500</v>
      </c>
      <c r="M174">
        <v>800</v>
      </c>
      <c r="N174" s="1" t="s">
        <v>40</v>
      </c>
    </row>
    <row r="175" spans="1:14" x14ac:dyDescent="0.25">
      <c r="A175">
        <v>174</v>
      </c>
      <c r="B175" s="1" t="s">
        <v>235</v>
      </c>
      <c r="C175" s="1" t="s">
        <v>66</v>
      </c>
      <c r="D175" s="1" t="s">
        <v>29</v>
      </c>
      <c r="E175" s="1" t="s">
        <v>213</v>
      </c>
      <c r="F175">
        <v>7</v>
      </c>
      <c r="G175">
        <v>20000</v>
      </c>
      <c r="H175" s="1" t="s">
        <v>214</v>
      </c>
      <c r="I175" s="1" t="s">
        <v>32</v>
      </c>
      <c r="J175" s="2">
        <v>45384</v>
      </c>
      <c r="K175" s="2">
        <v>45407</v>
      </c>
      <c r="L175">
        <v>2500</v>
      </c>
      <c r="M175">
        <v>1500</v>
      </c>
      <c r="N175" s="1" t="s">
        <v>20</v>
      </c>
    </row>
    <row r="176" spans="1:14" x14ac:dyDescent="0.25">
      <c r="A176">
        <v>175</v>
      </c>
      <c r="B176" s="1" t="s">
        <v>237</v>
      </c>
      <c r="C176" s="1" t="s">
        <v>48</v>
      </c>
      <c r="D176" s="1" t="s">
        <v>23</v>
      </c>
      <c r="E176" s="1" t="s">
        <v>24</v>
      </c>
      <c r="F176">
        <v>1</v>
      </c>
      <c r="G176">
        <v>200000</v>
      </c>
      <c r="H176" s="1" t="s">
        <v>254</v>
      </c>
      <c r="I176" s="1" t="s">
        <v>19</v>
      </c>
      <c r="J176" s="2">
        <v>45352</v>
      </c>
      <c r="K176" s="2">
        <v>45381</v>
      </c>
      <c r="L176">
        <v>5000</v>
      </c>
      <c r="M176">
        <v>3000</v>
      </c>
      <c r="N176" s="1" t="s">
        <v>20</v>
      </c>
    </row>
    <row r="177" spans="1:14" x14ac:dyDescent="0.25">
      <c r="A177">
        <v>176</v>
      </c>
      <c r="B177" s="1" t="s">
        <v>244</v>
      </c>
      <c r="C177" s="1" t="s">
        <v>245</v>
      </c>
      <c r="D177" s="1" t="s">
        <v>36</v>
      </c>
      <c r="E177" s="1" t="s">
        <v>229</v>
      </c>
      <c r="F177">
        <v>5</v>
      </c>
      <c r="G177">
        <v>5000</v>
      </c>
      <c r="H177" s="1" t="s">
        <v>139</v>
      </c>
      <c r="I177" s="1" t="s">
        <v>140</v>
      </c>
      <c r="J177" s="2">
        <v>45342</v>
      </c>
      <c r="K177" s="2">
        <v>45369</v>
      </c>
      <c r="L177">
        <v>1000</v>
      </c>
      <c r="M177">
        <v>500</v>
      </c>
      <c r="N177" s="1" t="s">
        <v>33</v>
      </c>
    </row>
    <row r="178" spans="1:14" x14ac:dyDescent="0.25">
      <c r="A178">
        <v>177</v>
      </c>
      <c r="B178" s="1" t="s">
        <v>246</v>
      </c>
      <c r="C178" s="1" t="s">
        <v>106</v>
      </c>
      <c r="D178" s="1" t="s">
        <v>78</v>
      </c>
      <c r="E178" s="1" t="s">
        <v>79</v>
      </c>
      <c r="F178">
        <v>8</v>
      </c>
      <c r="G178">
        <v>10000</v>
      </c>
      <c r="H178" s="1" t="s">
        <v>253</v>
      </c>
      <c r="I178" s="1" t="s">
        <v>19</v>
      </c>
      <c r="J178" s="2">
        <v>45366</v>
      </c>
      <c r="K178" s="2">
        <v>45392</v>
      </c>
      <c r="L178">
        <v>1200</v>
      </c>
      <c r="M178">
        <v>800</v>
      </c>
      <c r="N178" s="1" t="s">
        <v>20</v>
      </c>
    </row>
    <row r="179" spans="1:14" x14ac:dyDescent="0.25">
      <c r="A179">
        <v>178</v>
      </c>
      <c r="B179" s="1" t="s">
        <v>247</v>
      </c>
      <c r="C179" s="1" t="s">
        <v>248</v>
      </c>
      <c r="D179" s="1" t="s">
        <v>29</v>
      </c>
      <c r="E179" s="1" t="s">
        <v>216</v>
      </c>
      <c r="F179">
        <v>3</v>
      </c>
      <c r="G179">
        <v>50000</v>
      </c>
      <c r="H179" s="1" t="s">
        <v>146</v>
      </c>
      <c r="I179" s="1" t="s">
        <v>32</v>
      </c>
      <c r="J179" s="2">
        <v>45356</v>
      </c>
      <c r="K179" s="2">
        <v>45379</v>
      </c>
      <c r="L179">
        <v>1800</v>
      </c>
      <c r="M179">
        <v>1000</v>
      </c>
      <c r="N179" s="1" t="s">
        <v>33</v>
      </c>
    </row>
    <row r="180" spans="1:14" x14ac:dyDescent="0.25">
      <c r="A180">
        <v>179</v>
      </c>
      <c r="B180" s="1" t="s">
        <v>249</v>
      </c>
      <c r="C180" s="1" t="s">
        <v>88</v>
      </c>
      <c r="D180" s="1" t="s">
        <v>36</v>
      </c>
      <c r="E180" s="1" t="s">
        <v>138</v>
      </c>
      <c r="F180">
        <v>2</v>
      </c>
      <c r="G180">
        <v>8000</v>
      </c>
      <c r="H180" s="1" t="s">
        <v>139</v>
      </c>
      <c r="I180" s="1" t="s">
        <v>140</v>
      </c>
      <c r="J180" s="2">
        <v>45342</v>
      </c>
      <c r="K180" s="2">
        <v>45369</v>
      </c>
      <c r="L180">
        <v>1000</v>
      </c>
      <c r="M180">
        <v>500</v>
      </c>
      <c r="N180" s="1" t="s">
        <v>33</v>
      </c>
    </row>
    <row r="181" spans="1:14" x14ac:dyDescent="0.25">
      <c r="A181">
        <v>180</v>
      </c>
      <c r="B181" s="1" t="s">
        <v>251</v>
      </c>
      <c r="C181" s="1" t="s">
        <v>94</v>
      </c>
      <c r="D181" s="1" t="s">
        <v>23</v>
      </c>
      <c r="E181" s="1" t="s">
        <v>236</v>
      </c>
      <c r="F181">
        <v>6</v>
      </c>
      <c r="G181">
        <v>40000</v>
      </c>
      <c r="H181" s="1" t="s">
        <v>45</v>
      </c>
      <c r="I181" s="1" t="s">
        <v>46</v>
      </c>
      <c r="J181" s="2">
        <v>45356</v>
      </c>
      <c r="K181" s="2">
        <v>45379</v>
      </c>
      <c r="L181">
        <v>2000</v>
      </c>
      <c r="M181">
        <v>1200</v>
      </c>
      <c r="N181" s="1" t="s">
        <v>20</v>
      </c>
    </row>
    <row r="182" spans="1:14" x14ac:dyDescent="0.25">
      <c r="A182">
        <v>181</v>
      </c>
      <c r="B182" s="1" t="s">
        <v>255</v>
      </c>
      <c r="C182" s="1" t="s">
        <v>77</v>
      </c>
      <c r="D182" s="1" t="s">
        <v>29</v>
      </c>
      <c r="E182" s="1" t="s">
        <v>213</v>
      </c>
      <c r="F182">
        <v>5</v>
      </c>
      <c r="G182">
        <v>20000</v>
      </c>
      <c r="H182" s="1" t="s">
        <v>214</v>
      </c>
      <c r="I182" s="1" t="s">
        <v>32</v>
      </c>
      <c r="J182" s="2">
        <v>45384</v>
      </c>
      <c r="K182" s="2">
        <v>45407</v>
      </c>
      <c r="L182">
        <v>2500</v>
      </c>
      <c r="M182">
        <v>1500</v>
      </c>
      <c r="N182" s="1" t="s">
        <v>20</v>
      </c>
    </row>
    <row r="183" spans="1:14" x14ac:dyDescent="0.25">
      <c r="A183">
        <v>182</v>
      </c>
      <c r="B183" s="1" t="s">
        <v>256</v>
      </c>
      <c r="C183" s="1" t="s">
        <v>148</v>
      </c>
      <c r="D183" s="1" t="s">
        <v>36</v>
      </c>
      <c r="E183" s="1" t="s">
        <v>229</v>
      </c>
      <c r="F183">
        <v>3</v>
      </c>
      <c r="G183">
        <v>5000</v>
      </c>
      <c r="H183" s="1" t="s">
        <v>139</v>
      </c>
      <c r="I183" s="1" t="s">
        <v>140</v>
      </c>
      <c r="J183" s="2">
        <v>45366</v>
      </c>
      <c r="K183" s="2">
        <v>45392</v>
      </c>
      <c r="L183">
        <v>800</v>
      </c>
      <c r="M183">
        <v>500</v>
      </c>
      <c r="N183" s="1" t="s">
        <v>33</v>
      </c>
    </row>
    <row r="184" spans="1:14" x14ac:dyDescent="0.25">
      <c r="A184">
        <v>183</v>
      </c>
      <c r="B184" s="1" t="s">
        <v>257</v>
      </c>
      <c r="C184" s="1" t="s">
        <v>82</v>
      </c>
      <c r="D184" s="1" t="s">
        <v>23</v>
      </c>
      <c r="E184" s="1" t="s">
        <v>149</v>
      </c>
      <c r="F184">
        <v>1</v>
      </c>
      <c r="G184">
        <v>80000</v>
      </c>
      <c r="H184" s="1" t="s">
        <v>252</v>
      </c>
      <c r="I184" s="1" t="s">
        <v>52</v>
      </c>
      <c r="J184" s="2">
        <v>45402</v>
      </c>
      <c r="K184" s="2">
        <v>45427</v>
      </c>
      <c r="L184">
        <v>3000</v>
      </c>
      <c r="M184">
        <v>2000</v>
      </c>
      <c r="N184" s="1" t="s">
        <v>20</v>
      </c>
    </row>
    <row r="185" spans="1:14" x14ac:dyDescent="0.25">
      <c r="A185">
        <v>184</v>
      </c>
      <c r="B185" s="1" t="s">
        <v>258</v>
      </c>
      <c r="C185" s="1" t="s">
        <v>123</v>
      </c>
      <c r="D185" s="1" t="s">
        <v>78</v>
      </c>
      <c r="E185" s="1" t="s">
        <v>79</v>
      </c>
      <c r="F185">
        <v>6</v>
      </c>
      <c r="G185">
        <v>10000</v>
      </c>
      <c r="H185" s="1" t="s">
        <v>253</v>
      </c>
      <c r="I185" s="1" t="s">
        <v>19</v>
      </c>
      <c r="J185" s="2">
        <v>45366</v>
      </c>
      <c r="K185" s="2">
        <v>45392</v>
      </c>
      <c r="L185">
        <v>1200</v>
      </c>
      <c r="M185">
        <v>800</v>
      </c>
      <c r="N185" s="1" t="s">
        <v>20</v>
      </c>
    </row>
    <row r="186" spans="1:14" x14ac:dyDescent="0.25">
      <c r="A186">
        <v>185</v>
      </c>
      <c r="B186" s="1" t="s">
        <v>259</v>
      </c>
      <c r="C186" s="1" t="s">
        <v>152</v>
      </c>
      <c r="D186" s="1" t="s">
        <v>29</v>
      </c>
      <c r="E186" s="1" t="s">
        <v>216</v>
      </c>
      <c r="F186">
        <v>4</v>
      </c>
      <c r="G186">
        <v>50000</v>
      </c>
      <c r="H186" s="1" t="s">
        <v>146</v>
      </c>
      <c r="I186" s="1" t="s">
        <v>32</v>
      </c>
      <c r="J186" s="2">
        <v>45356</v>
      </c>
      <c r="K186" s="2">
        <v>45379</v>
      </c>
      <c r="L186">
        <v>1800</v>
      </c>
      <c r="M186">
        <v>1000</v>
      </c>
      <c r="N186" s="1" t="s">
        <v>33</v>
      </c>
    </row>
    <row r="187" spans="1:14" x14ac:dyDescent="0.25">
      <c r="A187">
        <v>186</v>
      </c>
      <c r="B187" s="1" t="s">
        <v>260</v>
      </c>
      <c r="C187" s="1" t="s">
        <v>261</v>
      </c>
      <c r="D187" s="1" t="s">
        <v>36</v>
      </c>
      <c r="E187" s="1" t="s">
        <v>138</v>
      </c>
      <c r="F187">
        <v>7</v>
      </c>
      <c r="G187">
        <v>8000</v>
      </c>
      <c r="H187" s="1" t="s">
        <v>139</v>
      </c>
      <c r="I187" s="1" t="s">
        <v>140</v>
      </c>
      <c r="J187" s="2">
        <v>45342</v>
      </c>
      <c r="K187" s="2">
        <v>45369</v>
      </c>
      <c r="L187">
        <v>1000</v>
      </c>
      <c r="M187">
        <v>500</v>
      </c>
      <c r="N187" s="1" t="s">
        <v>33</v>
      </c>
    </row>
    <row r="188" spans="1:14" x14ac:dyDescent="0.25">
      <c r="A188">
        <v>187</v>
      </c>
      <c r="B188" s="1" t="s">
        <v>262</v>
      </c>
      <c r="C188" s="1" t="s">
        <v>160</v>
      </c>
      <c r="D188" s="1" t="s">
        <v>23</v>
      </c>
      <c r="E188" s="1" t="s">
        <v>24</v>
      </c>
      <c r="F188">
        <v>2</v>
      </c>
      <c r="G188">
        <v>200000</v>
      </c>
      <c r="H188" s="1" t="s">
        <v>254</v>
      </c>
      <c r="I188" s="1" t="s">
        <v>19</v>
      </c>
      <c r="J188" s="2">
        <v>45352</v>
      </c>
      <c r="K188" s="2">
        <v>45381</v>
      </c>
      <c r="L188">
        <v>5000</v>
      </c>
      <c r="M188">
        <v>3000</v>
      </c>
      <c r="N188" s="1" t="s">
        <v>20</v>
      </c>
    </row>
    <row r="189" spans="1:14" x14ac:dyDescent="0.25">
      <c r="A189">
        <v>188</v>
      </c>
      <c r="B189" s="1" t="s">
        <v>263</v>
      </c>
      <c r="C189" s="1" t="s">
        <v>148</v>
      </c>
      <c r="D189" s="1" t="s">
        <v>36</v>
      </c>
      <c r="E189" s="1" t="s">
        <v>187</v>
      </c>
      <c r="F189">
        <v>5</v>
      </c>
      <c r="G189">
        <v>5000</v>
      </c>
      <c r="H189" s="1" t="s">
        <v>139</v>
      </c>
      <c r="I189" s="1" t="s">
        <v>140</v>
      </c>
      <c r="J189" s="2">
        <v>45350</v>
      </c>
      <c r="K189" s="2">
        <v>45376</v>
      </c>
      <c r="L189">
        <v>800</v>
      </c>
      <c r="M189">
        <v>500</v>
      </c>
      <c r="N189" s="1" t="s">
        <v>33</v>
      </c>
    </row>
    <row r="190" spans="1:14" x14ac:dyDescent="0.25">
      <c r="A190">
        <v>189</v>
      </c>
      <c r="B190" s="1" t="s">
        <v>264</v>
      </c>
      <c r="C190" s="1" t="s">
        <v>189</v>
      </c>
      <c r="D190" s="1" t="s">
        <v>78</v>
      </c>
      <c r="E190" s="1" t="s">
        <v>37</v>
      </c>
      <c r="F190">
        <v>3</v>
      </c>
      <c r="G190">
        <v>40000</v>
      </c>
      <c r="H190" s="1" t="s">
        <v>167</v>
      </c>
      <c r="I190" s="1" t="s">
        <v>39</v>
      </c>
      <c r="J190" s="2">
        <v>45311</v>
      </c>
      <c r="K190" s="2">
        <v>45337</v>
      </c>
      <c r="L190">
        <v>2000</v>
      </c>
      <c r="M190">
        <v>1200</v>
      </c>
      <c r="N190" s="1" t="s">
        <v>20</v>
      </c>
    </row>
    <row r="191" spans="1:14" x14ac:dyDescent="0.25">
      <c r="A191">
        <v>190</v>
      </c>
      <c r="B191" s="1" t="s">
        <v>265</v>
      </c>
      <c r="C191" s="1" t="s">
        <v>42</v>
      </c>
      <c r="D191" s="1" t="s">
        <v>36</v>
      </c>
      <c r="E191" s="1" t="s">
        <v>266</v>
      </c>
      <c r="F191">
        <v>6</v>
      </c>
      <c r="G191">
        <v>8000</v>
      </c>
      <c r="H191" s="1" t="s">
        <v>139</v>
      </c>
      <c r="I191" s="1" t="s">
        <v>140</v>
      </c>
      <c r="J191" s="2">
        <v>45342</v>
      </c>
      <c r="K191" s="2">
        <v>45369</v>
      </c>
      <c r="L191">
        <v>1000</v>
      </c>
      <c r="M191">
        <v>500</v>
      </c>
      <c r="N191" s="1" t="s">
        <v>33</v>
      </c>
    </row>
    <row r="192" spans="1:14" x14ac:dyDescent="0.25">
      <c r="A192">
        <v>191</v>
      </c>
      <c r="B192" s="1" t="s">
        <v>267</v>
      </c>
      <c r="C192" s="1" t="s">
        <v>114</v>
      </c>
      <c r="D192" s="1" t="s">
        <v>23</v>
      </c>
      <c r="E192" s="1" t="s">
        <v>62</v>
      </c>
      <c r="F192">
        <v>4</v>
      </c>
      <c r="G192">
        <v>30000</v>
      </c>
      <c r="H192" s="1" t="s">
        <v>63</v>
      </c>
      <c r="I192" s="1" t="s">
        <v>64</v>
      </c>
      <c r="J192" s="2">
        <v>45332</v>
      </c>
      <c r="K192" s="2">
        <v>45356</v>
      </c>
      <c r="L192">
        <v>1500</v>
      </c>
      <c r="M192">
        <v>800</v>
      </c>
      <c r="N192" s="1" t="s">
        <v>40</v>
      </c>
    </row>
    <row r="193" spans="1:14" x14ac:dyDescent="0.25">
      <c r="A193">
        <v>192</v>
      </c>
      <c r="B193" s="1" t="s">
        <v>268</v>
      </c>
      <c r="C193" s="1" t="s">
        <v>28</v>
      </c>
      <c r="D193" s="1" t="s">
        <v>78</v>
      </c>
      <c r="E193" s="1" t="s">
        <v>79</v>
      </c>
      <c r="F193">
        <v>7</v>
      </c>
      <c r="G193">
        <v>10000</v>
      </c>
      <c r="H193" s="1" t="s">
        <v>253</v>
      </c>
      <c r="I193" s="1" t="s">
        <v>19</v>
      </c>
      <c r="J193" s="2">
        <v>45371</v>
      </c>
      <c r="K193" s="2">
        <v>45397</v>
      </c>
      <c r="L193">
        <v>1200</v>
      </c>
      <c r="M193">
        <v>800</v>
      </c>
      <c r="N193" s="1" t="s">
        <v>20</v>
      </c>
    </row>
    <row r="194" spans="1:14" x14ac:dyDescent="0.25">
      <c r="A194">
        <v>193</v>
      </c>
      <c r="B194" s="1" t="s">
        <v>269</v>
      </c>
      <c r="C194" s="1" t="s">
        <v>118</v>
      </c>
      <c r="D194" s="1" t="s">
        <v>36</v>
      </c>
      <c r="E194" s="1" t="s">
        <v>229</v>
      </c>
      <c r="F194">
        <v>2</v>
      </c>
      <c r="G194">
        <v>5000</v>
      </c>
      <c r="H194" s="1" t="s">
        <v>139</v>
      </c>
      <c r="I194" s="1" t="s">
        <v>140</v>
      </c>
      <c r="J194" s="2">
        <v>45337</v>
      </c>
      <c r="K194" s="2">
        <v>45361</v>
      </c>
      <c r="L194">
        <v>800</v>
      </c>
      <c r="M194">
        <v>500</v>
      </c>
      <c r="N194" s="1" t="s">
        <v>33</v>
      </c>
    </row>
    <row r="195" spans="1:14" x14ac:dyDescent="0.25">
      <c r="A195">
        <v>194</v>
      </c>
      <c r="B195" s="1" t="s">
        <v>270</v>
      </c>
      <c r="C195" s="1" t="s">
        <v>77</v>
      </c>
      <c r="D195" s="1" t="s">
        <v>23</v>
      </c>
      <c r="E195" s="1" t="s">
        <v>149</v>
      </c>
      <c r="F195">
        <v>5</v>
      </c>
      <c r="G195">
        <v>80000</v>
      </c>
      <c r="H195" s="1" t="s">
        <v>252</v>
      </c>
      <c r="I195" s="1" t="s">
        <v>52</v>
      </c>
      <c r="J195" s="2">
        <v>45356</v>
      </c>
      <c r="K195" s="2">
        <v>45379</v>
      </c>
      <c r="L195">
        <v>3000</v>
      </c>
      <c r="M195">
        <v>2000</v>
      </c>
      <c r="N195" s="1" t="s">
        <v>20</v>
      </c>
    </row>
    <row r="196" spans="1:14" x14ac:dyDescent="0.25">
      <c r="A196">
        <v>195</v>
      </c>
      <c r="B196" s="1" t="s">
        <v>271</v>
      </c>
      <c r="C196" s="1" t="s">
        <v>272</v>
      </c>
      <c r="D196" s="1" t="s">
        <v>29</v>
      </c>
      <c r="E196" s="1" t="s">
        <v>216</v>
      </c>
      <c r="F196">
        <v>3</v>
      </c>
      <c r="G196">
        <v>50000</v>
      </c>
      <c r="H196" s="1" t="s">
        <v>146</v>
      </c>
      <c r="I196" s="1" t="s">
        <v>32</v>
      </c>
      <c r="J196" s="2">
        <v>45361</v>
      </c>
      <c r="K196" s="2">
        <v>45387</v>
      </c>
      <c r="L196">
        <v>1800</v>
      </c>
      <c r="M196">
        <v>1000</v>
      </c>
      <c r="N196" s="1" t="s">
        <v>33</v>
      </c>
    </row>
    <row r="197" spans="1:14" x14ac:dyDescent="0.25">
      <c r="A197">
        <v>196</v>
      </c>
      <c r="B197" s="1" t="s">
        <v>273</v>
      </c>
      <c r="C197" s="1" t="s">
        <v>109</v>
      </c>
      <c r="D197" s="1" t="s">
        <v>36</v>
      </c>
      <c r="E197" s="1" t="s">
        <v>138</v>
      </c>
      <c r="F197">
        <v>6</v>
      </c>
      <c r="G197">
        <v>8000</v>
      </c>
      <c r="H197" s="1" t="s">
        <v>139</v>
      </c>
      <c r="I197" s="1" t="s">
        <v>140</v>
      </c>
      <c r="J197" s="2">
        <v>45342</v>
      </c>
      <c r="K197" s="2">
        <v>45369</v>
      </c>
      <c r="L197">
        <v>1000</v>
      </c>
      <c r="M197">
        <v>500</v>
      </c>
      <c r="N197" s="1" t="s">
        <v>33</v>
      </c>
    </row>
    <row r="198" spans="1:14" x14ac:dyDescent="0.25">
      <c r="A198">
        <v>197</v>
      </c>
      <c r="B198" s="1" t="s">
        <v>274</v>
      </c>
      <c r="C198" s="1" t="s">
        <v>72</v>
      </c>
      <c r="D198" s="1" t="s">
        <v>78</v>
      </c>
      <c r="E198" s="1" t="s">
        <v>37</v>
      </c>
      <c r="F198">
        <v>2</v>
      </c>
      <c r="G198">
        <v>40000</v>
      </c>
      <c r="H198" s="1" t="s">
        <v>167</v>
      </c>
      <c r="I198" s="1" t="s">
        <v>39</v>
      </c>
      <c r="J198" s="2">
        <v>45311</v>
      </c>
      <c r="K198" s="2">
        <v>45337</v>
      </c>
      <c r="L198">
        <v>2000</v>
      </c>
      <c r="M198">
        <v>1200</v>
      </c>
      <c r="N198" s="1" t="s">
        <v>20</v>
      </c>
    </row>
    <row r="199" spans="1:14" x14ac:dyDescent="0.25">
      <c r="A199">
        <v>198</v>
      </c>
      <c r="B199" s="1" t="s">
        <v>275</v>
      </c>
      <c r="C199" s="1" t="s">
        <v>42</v>
      </c>
      <c r="D199" s="1" t="s">
        <v>23</v>
      </c>
      <c r="E199" s="1" t="s">
        <v>24</v>
      </c>
      <c r="F199">
        <v>1</v>
      </c>
      <c r="G199">
        <v>200000</v>
      </c>
      <c r="H199" s="1" t="s">
        <v>254</v>
      </c>
      <c r="I199" s="1" t="s">
        <v>19</v>
      </c>
      <c r="J199" s="2">
        <v>45352</v>
      </c>
      <c r="K199" s="2">
        <v>45381</v>
      </c>
      <c r="L199">
        <v>5000</v>
      </c>
      <c r="M199">
        <v>3000</v>
      </c>
      <c r="N199" s="1" t="s">
        <v>20</v>
      </c>
    </row>
    <row r="200" spans="1:14" x14ac:dyDescent="0.25">
      <c r="A200">
        <v>199</v>
      </c>
      <c r="B200" s="1" t="s">
        <v>276</v>
      </c>
      <c r="C200" s="1" t="s">
        <v>130</v>
      </c>
      <c r="D200" s="1" t="s">
        <v>36</v>
      </c>
      <c r="E200" s="1" t="s">
        <v>187</v>
      </c>
      <c r="F200">
        <v>4</v>
      </c>
      <c r="G200">
        <v>5000</v>
      </c>
      <c r="H200" s="1" t="s">
        <v>139</v>
      </c>
      <c r="I200" s="1" t="s">
        <v>140</v>
      </c>
      <c r="J200" s="2">
        <v>45350</v>
      </c>
      <c r="K200" s="2">
        <v>45376</v>
      </c>
      <c r="L200">
        <v>800</v>
      </c>
      <c r="M200">
        <v>500</v>
      </c>
      <c r="N200" s="1" t="s">
        <v>33</v>
      </c>
    </row>
    <row r="201" spans="1:14" x14ac:dyDescent="0.25">
      <c r="A201">
        <v>200</v>
      </c>
      <c r="B201" s="1" t="s">
        <v>277</v>
      </c>
      <c r="C201" s="1" t="s">
        <v>169</v>
      </c>
      <c r="D201" s="1" t="s">
        <v>78</v>
      </c>
      <c r="E201" s="1" t="s">
        <v>79</v>
      </c>
      <c r="F201">
        <v>8</v>
      </c>
      <c r="G201">
        <v>10000</v>
      </c>
      <c r="H201" s="1" t="s">
        <v>253</v>
      </c>
      <c r="I201" s="1" t="s">
        <v>19</v>
      </c>
      <c r="J201" s="2">
        <v>45366</v>
      </c>
      <c r="K201" s="2">
        <v>45392</v>
      </c>
      <c r="L201">
        <v>1200</v>
      </c>
      <c r="M201">
        <v>800</v>
      </c>
      <c r="N201" s="1" t="s">
        <v>20</v>
      </c>
    </row>
    <row r="202" spans="1:14" x14ac:dyDescent="0.25">
      <c r="A202">
        <v>201</v>
      </c>
      <c r="B202" s="1" t="s">
        <v>247</v>
      </c>
      <c r="C202" s="1" t="s">
        <v>248</v>
      </c>
      <c r="D202" s="1" t="s">
        <v>23</v>
      </c>
      <c r="E202" s="1" t="s">
        <v>62</v>
      </c>
      <c r="F202">
        <v>6</v>
      </c>
      <c r="G202">
        <v>30000</v>
      </c>
      <c r="H202" s="1" t="s">
        <v>63</v>
      </c>
      <c r="I202" s="1" t="s">
        <v>64</v>
      </c>
      <c r="J202" s="2">
        <v>45350</v>
      </c>
      <c r="K202" s="2">
        <v>45376</v>
      </c>
      <c r="L202">
        <v>1500</v>
      </c>
      <c r="M202">
        <v>800</v>
      </c>
      <c r="N202" s="1" t="s">
        <v>40</v>
      </c>
    </row>
    <row r="203" spans="1:14" x14ac:dyDescent="0.25">
      <c r="A203">
        <v>202</v>
      </c>
      <c r="B203" s="1" t="s">
        <v>278</v>
      </c>
      <c r="C203" s="1" t="s">
        <v>60</v>
      </c>
      <c r="D203" s="1" t="s">
        <v>36</v>
      </c>
      <c r="E203" s="1" t="s">
        <v>138</v>
      </c>
      <c r="F203">
        <v>3</v>
      </c>
      <c r="G203">
        <v>8000</v>
      </c>
      <c r="H203" s="1" t="s">
        <v>139</v>
      </c>
      <c r="I203" s="1" t="s">
        <v>140</v>
      </c>
      <c r="J203" s="2">
        <v>45342</v>
      </c>
      <c r="K203" s="2">
        <v>45369</v>
      </c>
      <c r="L203">
        <v>1000</v>
      </c>
      <c r="M203">
        <v>500</v>
      </c>
      <c r="N203" s="1" t="s">
        <v>33</v>
      </c>
    </row>
    <row r="204" spans="1:14" x14ac:dyDescent="0.25">
      <c r="A204">
        <v>203</v>
      </c>
      <c r="B204" s="1" t="s">
        <v>279</v>
      </c>
      <c r="C204" s="1" t="s">
        <v>280</v>
      </c>
      <c r="D204" s="1" t="s">
        <v>29</v>
      </c>
      <c r="E204" s="1" t="s">
        <v>242</v>
      </c>
      <c r="F204">
        <v>4</v>
      </c>
      <c r="G204">
        <v>60000</v>
      </c>
      <c r="H204" s="1" t="s">
        <v>243</v>
      </c>
      <c r="I204" s="1" t="s">
        <v>98</v>
      </c>
      <c r="J204" s="2">
        <v>45392</v>
      </c>
      <c r="K204" s="2">
        <v>45417</v>
      </c>
      <c r="L204">
        <v>2500</v>
      </c>
      <c r="M204">
        <v>1500</v>
      </c>
      <c r="N204" s="1" t="s">
        <v>20</v>
      </c>
    </row>
    <row r="205" spans="1:14" x14ac:dyDescent="0.25">
      <c r="A205">
        <v>204</v>
      </c>
      <c r="B205" s="1" t="s">
        <v>281</v>
      </c>
      <c r="C205" s="1" t="s">
        <v>100</v>
      </c>
      <c r="D205" s="1" t="s">
        <v>78</v>
      </c>
      <c r="E205" s="1" t="s">
        <v>79</v>
      </c>
      <c r="F205">
        <v>5</v>
      </c>
      <c r="G205">
        <v>10000</v>
      </c>
      <c r="H205" s="1" t="s">
        <v>253</v>
      </c>
      <c r="I205" s="1" t="s">
        <v>19</v>
      </c>
      <c r="J205" s="2">
        <v>45366</v>
      </c>
      <c r="K205" s="2">
        <v>45392</v>
      </c>
      <c r="L205">
        <v>1200</v>
      </c>
      <c r="M205">
        <v>800</v>
      </c>
      <c r="N205" s="1" t="s">
        <v>20</v>
      </c>
    </row>
    <row r="206" spans="1:14" x14ac:dyDescent="0.25">
      <c r="A206">
        <v>205</v>
      </c>
      <c r="B206" s="1" t="s">
        <v>282</v>
      </c>
      <c r="C206" s="1" t="s">
        <v>135</v>
      </c>
      <c r="D206" s="1" t="s">
        <v>29</v>
      </c>
      <c r="E206" s="1" t="s">
        <v>216</v>
      </c>
      <c r="F206">
        <v>2</v>
      </c>
      <c r="G206">
        <v>50000</v>
      </c>
      <c r="H206" s="1" t="s">
        <v>146</v>
      </c>
      <c r="I206" s="1" t="s">
        <v>32</v>
      </c>
      <c r="J206" s="2">
        <v>45356</v>
      </c>
      <c r="K206" s="2">
        <v>45379</v>
      </c>
      <c r="L206">
        <v>1800</v>
      </c>
      <c r="M206">
        <v>1000</v>
      </c>
      <c r="N206" s="1" t="s">
        <v>33</v>
      </c>
    </row>
    <row r="207" spans="1:14" x14ac:dyDescent="0.25">
      <c r="A207">
        <v>206</v>
      </c>
      <c r="B207" s="1" t="s">
        <v>283</v>
      </c>
      <c r="C207" s="1" t="s">
        <v>284</v>
      </c>
      <c r="D207" s="1" t="s">
        <v>23</v>
      </c>
      <c r="E207" s="1" t="s">
        <v>149</v>
      </c>
      <c r="F207">
        <v>8</v>
      </c>
      <c r="G207">
        <v>80000</v>
      </c>
      <c r="H207" s="1" t="s">
        <v>252</v>
      </c>
      <c r="I207" s="1" t="s">
        <v>52</v>
      </c>
      <c r="J207" s="2">
        <v>45402</v>
      </c>
      <c r="K207" s="2">
        <v>45427</v>
      </c>
      <c r="L207">
        <v>3000</v>
      </c>
      <c r="M207">
        <v>2000</v>
      </c>
      <c r="N207" s="1" t="s">
        <v>20</v>
      </c>
    </row>
    <row r="208" spans="1:14" x14ac:dyDescent="0.25">
      <c r="A208">
        <v>207</v>
      </c>
      <c r="B208" s="1" t="s">
        <v>263</v>
      </c>
      <c r="C208" s="1" t="s">
        <v>148</v>
      </c>
      <c r="D208" s="1" t="s">
        <v>36</v>
      </c>
      <c r="E208" s="1" t="s">
        <v>229</v>
      </c>
      <c r="F208">
        <v>3</v>
      </c>
      <c r="G208">
        <v>5000</v>
      </c>
      <c r="H208" s="1" t="s">
        <v>139</v>
      </c>
      <c r="I208" s="1" t="s">
        <v>140</v>
      </c>
      <c r="J208" s="2">
        <v>45337</v>
      </c>
      <c r="K208" s="2">
        <v>45361</v>
      </c>
      <c r="L208">
        <v>800</v>
      </c>
      <c r="M208">
        <v>500</v>
      </c>
      <c r="N208" s="1" t="s">
        <v>33</v>
      </c>
    </row>
    <row r="209" spans="1:14" x14ac:dyDescent="0.25">
      <c r="A209">
        <v>208</v>
      </c>
      <c r="B209" s="1" t="s">
        <v>271</v>
      </c>
      <c r="C209" s="1" t="s">
        <v>272</v>
      </c>
      <c r="D209" s="1" t="s">
        <v>23</v>
      </c>
      <c r="E209" s="1" t="s">
        <v>62</v>
      </c>
      <c r="F209">
        <v>6</v>
      </c>
      <c r="G209">
        <v>30000</v>
      </c>
      <c r="H209" s="1" t="s">
        <v>63</v>
      </c>
      <c r="I209" s="1" t="s">
        <v>64</v>
      </c>
      <c r="J209" s="2">
        <v>45332</v>
      </c>
      <c r="K209" s="2">
        <v>45356</v>
      </c>
      <c r="L209">
        <v>1500</v>
      </c>
      <c r="M209">
        <v>800</v>
      </c>
      <c r="N209" s="1" t="s">
        <v>40</v>
      </c>
    </row>
    <row r="210" spans="1:14" x14ac:dyDescent="0.25">
      <c r="A210">
        <v>209</v>
      </c>
      <c r="B210" s="1" t="s">
        <v>262</v>
      </c>
      <c r="C210" s="1" t="s">
        <v>160</v>
      </c>
      <c r="D210" s="1" t="s">
        <v>78</v>
      </c>
      <c r="E210" s="1" t="s">
        <v>37</v>
      </c>
      <c r="F210">
        <v>2</v>
      </c>
      <c r="G210">
        <v>40000</v>
      </c>
      <c r="H210" s="1" t="s">
        <v>167</v>
      </c>
      <c r="I210" s="1" t="s">
        <v>39</v>
      </c>
      <c r="J210" s="2">
        <v>45311</v>
      </c>
      <c r="K210" s="2">
        <v>45337</v>
      </c>
      <c r="L210">
        <v>2000</v>
      </c>
      <c r="M210">
        <v>1200</v>
      </c>
      <c r="N210" s="1" t="s">
        <v>20</v>
      </c>
    </row>
    <row r="211" spans="1:14" x14ac:dyDescent="0.25">
      <c r="A211">
        <v>210</v>
      </c>
      <c r="B211" s="1" t="s">
        <v>285</v>
      </c>
      <c r="C211" s="1" t="s">
        <v>280</v>
      </c>
      <c r="D211" s="1" t="s">
        <v>36</v>
      </c>
      <c r="E211" s="1" t="s">
        <v>187</v>
      </c>
      <c r="F211">
        <v>4</v>
      </c>
      <c r="G211">
        <v>5000</v>
      </c>
      <c r="H211" s="1" t="s">
        <v>139</v>
      </c>
      <c r="I211" s="1" t="s">
        <v>140</v>
      </c>
      <c r="J211" s="2">
        <v>45350</v>
      </c>
      <c r="K211" s="2">
        <v>45376</v>
      </c>
      <c r="L211">
        <v>800</v>
      </c>
      <c r="M211">
        <v>500</v>
      </c>
      <c r="N211" s="1" t="s">
        <v>33</v>
      </c>
    </row>
    <row r="212" spans="1:14" x14ac:dyDescent="0.25">
      <c r="A212">
        <v>211</v>
      </c>
      <c r="B212" s="1" t="s">
        <v>267</v>
      </c>
      <c r="C212" s="1" t="s">
        <v>114</v>
      </c>
      <c r="D212" s="1" t="s">
        <v>29</v>
      </c>
      <c r="E212" s="1" t="s">
        <v>213</v>
      </c>
      <c r="F212">
        <v>3</v>
      </c>
      <c r="G212">
        <v>20000</v>
      </c>
      <c r="H212" s="1" t="s">
        <v>214</v>
      </c>
      <c r="I212" s="1" t="s">
        <v>32</v>
      </c>
      <c r="J212" s="2">
        <v>45384</v>
      </c>
      <c r="K212" s="2">
        <v>45407</v>
      </c>
      <c r="L212">
        <v>2500</v>
      </c>
      <c r="M212">
        <v>1500</v>
      </c>
      <c r="N212" s="1" t="s">
        <v>20</v>
      </c>
    </row>
    <row r="213" spans="1:14" x14ac:dyDescent="0.25">
      <c r="A213">
        <v>212</v>
      </c>
      <c r="B213" s="1" t="s">
        <v>278</v>
      </c>
      <c r="C213" s="1" t="s">
        <v>60</v>
      </c>
      <c r="D213" s="1" t="s">
        <v>23</v>
      </c>
      <c r="E213" s="1" t="s">
        <v>24</v>
      </c>
      <c r="F213">
        <v>2</v>
      </c>
      <c r="G213">
        <v>200000</v>
      </c>
      <c r="H213" s="1" t="s">
        <v>254</v>
      </c>
      <c r="I213" s="1" t="s">
        <v>19</v>
      </c>
      <c r="J213" s="2">
        <v>45352</v>
      </c>
      <c r="K213" s="2">
        <v>45381</v>
      </c>
      <c r="L213">
        <v>5000</v>
      </c>
      <c r="M213">
        <v>3000</v>
      </c>
      <c r="N213" s="1" t="s">
        <v>20</v>
      </c>
    </row>
    <row r="214" spans="1:14" x14ac:dyDescent="0.25">
      <c r="A214">
        <v>213</v>
      </c>
      <c r="B214" s="1" t="s">
        <v>279</v>
      </c>
      <c r="C214" s="1" t="s">
        <v>280</v>
      </c>
      <c r="D214" s="1" t="s">
        <v>36</v>
      </c>
      <c r="E214" s="1" t="s">
        <v>138</v>
      </c>
      <c r="F214">
        <v>5</v>
      </c>
      <c r="G214">
        <v>8000</v>
      </c>
      <c r="H214" s="1" t="s">
        <v>139</v>
      </c>
      <c r="I214" s="1" t="s">
        <v>140</v>
      </c>
      <c r="J214" s="2">
        <v>45342</v>
      </c>
      <c r="K214" s="2">
        <v>45369</v>
      </c>
      <c r="L214">
        <v>1000</v>
      </c>
      <c r="M214">
        <v>500</v>
      </c>
      <c r="N214" s="1" t="s">
        <v>33</v>
      </c>
    </row>
    <row r="215" spans="1:14" x14ac:dyDescent="0.25">
      <c r="A215">
        <v>214</v>
      </c>
      <c r="B215" s="1" t="s">
        <v>281</v>
      </c>
      <c r="C215" s="1" t="s">
        <v>100</v>
      </c>
      <c r="D215" s="1" t="s">
        <v>78</v>
      </c>
      <c r="E215" s="1" t="s">
        <v>79</v>
      </c>
      <c r="F215">
        <v>6</v>
      </c>
      <c r="G215">
        <v>10000</v>
      </c>
      <c r="H215" s="1" t="s">
        <v>253</v>
      </c>
      <c r="I215" s="1" t="s">
        <v>19</v>
      </c>
      <c r="J215" s="2">
        <v>45366</v>
      </c>
      <c r="K215" s="2">
        <v>45392</v>
      </c>
      <c r="L215">
        <v>1200</v>
      </c>
      <c r="M215">
        <v>800</v>
      </c>
      <c r="N215" s="1" t="s">
        <v>20</v>
      </c>
    </row>
    <row r="216" spans="1:14" x14ac:dyDescent="0.25">
      <c r="A216">
        <v>215</v>
      </c>
      <c r="B216" s="1" t="s">
        <v>282</v>
      </c>
      <c r="C216" s="1" t="s">
        <v>135</v>
      </c>
      <c r="D216" s="1" t="s">
        <v>36</v>
      </c>
      <c r="E216" s="1" t="s">
        <v>187</v>
      </c>
      <c r="F216">
        <v>3</v>
      </c>
      <c r="G216">
        <v>5000</v>
      </c>
      <c r="H216" s="1" t="s">
        <v>139</v>
      </c>
      <c r="I216" s="1" t="s">
        <v>140</v>
      </c>
      <c r="J216" s="2">
        <v>45350</v>
      </c>
      <c r="K216" s="2">
        <v>45376</v>
      </c>
      <c r="L216">
        <v>800</v>
      </c>
      <c r="M216">
        <v>500</v>
      </c>
      <c r="N216" s="1" t="s">
        <v>33</v>
      </c>
    </row>
    <row r="217" spans="1:14" x14ac:dyDescent="0.25">
      <c r="A217">
        <v>216</v>
      </c>
      <c r="B217" s="1" t="s">
        <v>283</v>
      </c>
      <c r="C217" s="1" t="s">
        <v>284</v>
      </c>
      <c r="D217" s="1" t="s">
        <v>29</v>
      </c>
      <c r="E217" s="1" t="s">
        <v>216</v>
      </c>
      <c r="F217">
        <v>4</v>
      </c>
      <c r="G217">
        <v>50000</v>
      </c>
      <c r="H217" s="1" t="s">
        <v>146</v>
      </c>
      <c r="I217" s="1" t="s">
        <v>32</v>
      </c>
      <c r="J217" s="2">
        <v>45356</v>
      </c>
      <c r="K217" s="2">
        <v>45379</v>
      </c>
      <c r="L217">
        <v>1800</v>
      </c>
      <c r="M217">
        <v>1000</v>
      </c>
      <c r="N217" s="1" t="s">
        <v>33</v>
      </c>
    </row>
    <row r="218" spans="1:14" x14ac:dyDescent="0.25">
      <c r="A218">
        <v>217</v>
      </c>
      <c r="B218" s="1" t="s">
        <v>263</v>
      </c>
      <c r="C218" s="1" t="s">
        <v>148</v>
      </c>
      <c r="D218" s="1" t="s">
        <v>23</v>
      </c>
      <c r="E218" s="1" t="s">
        <v>62</v>
      </c>
      <c r="F218">
        <v>2</v>
      </c>
      <c r="G218">
        <v>30000</v>
      </c>
      <c r="H218" s="1" t="s">
        <v>63</v>
      </c>
      <c r="I218" s="1" t="s">
        <v>64</v>
      </c>
      <c r="J218" s="2">
        <v>45332</v>
      </c>
      <c r="K218" s="2">
        <v>45356</v>
      </c>
      <c r="L218">
        <v>1500</v>
      </c>
      <c r="M218">
        <v>800</v>
      </c>
      <c r="N218" s="1" t="s">
        <v>40</v>
      </c>
    </row>
    <row r="219" spans="1:14" x14ac:dyDescent="0.25">
      <c r="A219">
        <v>218</v>
      </c>
      <c r="B219" s="1" t="s">
        <v>271</v>
      </c>
      <c r="C219" s="1" t="s">
        <v>272</v>
      </c>
      <c r="D219" s="1" t="s">
        <v>78</v>
      </c>
      <c r="E219" s="1" t="s">
        <v>37</v>
      </c>
      <c r="F219">
        <v>5</v>
      </c>
      <c r="G219">
        <v>40000</v>
      </c>
      <c r="H219" s="1" t="s">
        <v>167</v>
      </c>
      <c r="I219" s="1" t="s">
        <v>39</v>
      </c>
      <c r="J219" s="2">
        <v>45311</v>
      </c>
      <c r="K219" s="2">
        <v>45337</v>
      </c>
      <c r="L219">
        <v>2000</v>
      </c>
      <c r="M219">
        <v>1200</v>
      </c>
      <c r="N219" s="1" t="s">
        <v>20</v>
      </c>
    </row>
    <row r="220" spans="1:14" x14ac:dyDescent="0.25">
      <c r="A220">
        <v>219</v>
      </c>
      <c r="B220" s="1" t="s">
        <v>262</v>
      </c>
      <c r="C220" s="1" t="s">
        <v>160</v>
      </c>
      <c r="D220" s="1" t="s">
        <v>36</v>
      </c>
      <c r="E220" s="1" t="s">
        <v>229</v>
      </c>
      <c r="F220">
        <v>3</v>
      </c>
      <c r="G220">
        <v>5000</v>
      </c>
      <c r="H220" s="1" t="s">
        <v>139</v>
      </c>
      <c r="I220" s="1" t="s">
        <v>140</v>
      </c>
      <c r="J220" s="2">
        <v>45337</v>
      </c>
      <c r="K220" s="2">
        <v>45361</v>
      </c>
      <c r="L220">
        <v>800</v>
      </c>
      <c r="M220">
        <v>500</v>
      </c>
      <c r="N220" s="1" t="s">
        <v>33</v>
      </c>
    </row>
    <row r="221" spans="1:14" x14ac:dyDescent="0.25">
      <c r="A221">
        <v>220</v>
      </c>
      <c r="B221" s="1" t="s">
        <v>285</v>
      </c>
      <c r="C221" s="1" t="s">
        <v>280</v>
      </c>
      <c r="D221" s="1" t="s">
        <v>23</v>
      </c>
      <c r="E221" s="1" t="s">
        <v>149</v>
      </c>
      <c r="F221">
        <v>7</v>
      </c>
      <c r="G221">
        <v>80000</v>
      </c>
      <c r="H221" s="1" t="s">
        <v>252</v>
      </c>
      <c r="I221" s="1" t="s">
        <v>52</v>
      </c>
      <c r="J221" s="2">
        <v>45402</v>
      </c>
      <c r="K221" s="2">
        <v>45427</v>
      </c>
      <c r="L221">
        <v>3000</v>
      </c>
      <c r="M221">
        <v>2000</v>
      </c>
      <c r="N221" s="1" t="s">
        <v>20</v>
      </c>
    </row>
    <row r="222" spans="1:14" x14ac:dyDescent="0.25">
      <c r="A222">
        <v>221</v>
      </c>
      <c r="B222" s="1" t="s">
        <v>269</v>
      </c>
      <c r="C222" s="1" t="s">
        <v>118</v>
      </c>
      <c r="D222" s="1" t="s">
        <v>29</v>
      </c>
      <c r="E222" s="1" t="s">
        <v>213</v>
      </c>
      <c r="F222">
        <v>4</v>
      </c>
      <c r="G222">
        <v>20000</v>
      </c>
      <c r="H222" s="1" t="s">
        <v>214</v>
      </c>
      <c r="I222" s="1" t="s">
        <v>32</v>
      </c>
      <c r="J222" s="2">
        <v>45353</v>
      </c>
      <c r="K222" s="2">
        <v>45376</v>
      </c>
      <c r="L222">
        <v>2500</v>
      </c>
      <c r="M222">
        <v>1500</v>
      </c>
      <c r="N222" s="1" t="s">
        <v>20</v>
      </c>
    </row>
    <row r="223" spans="1:14" x14ac:dyDescent="0.25">
      <c r="A223">
        <v>222</v>
      </c>
      <c r="B223" s="1" t="s">
        <v>247</v>
      </c>
      <c r="C223" s="1" t="s">
        <v>248</v>
      </c>
      <c r="D223" s="1" t="s">
        <v>78</v>
      </c>
      <c r="E223" s="1" t="s">
        <v>79</v>
      </c>
      <c r="F223">
        <v>2</v>
      </c>
      <c r="G223">
        <v>10000</v>
      </c>
      <c r="H223" s="1" t="s">
        <v>253</v>
      </c>
      <c r="I223" s="1" t="s">
        <v>19</v>
      </c>
      <c r="J223" s="2">
        <v>45369</v>
      </c>
      <c r="K223" s="2">
        <v>45394</v>
      </c>
      <c r="L223">
        <v>1200</v>
      </c>
      <c r="M223">
        <v>800</v>
      </c>
      <c r="N223" s="1" t="s">
        <v>20</v>
      </c>
    </row>
    <row r="224" spans="1:14" x14ac:dyDescent="0.25">
      <c r="A224">
        <v>223</v>
      </c>
      <c r="B224" s="1" t="s">
        <v>278</v>
      </c>
      <c r="C224" s="1" t="s">
        <v>60</v>
      </c>
      <c r="D224" s="1" t="s">
        <v>23</v>
      </c>
      <c r="E224" s="1" t="s">
        <v>24</v>
      </c>
      <c r="F224">
        <v>3</v>
      </c>
      <c r="G224">
        <v>200000</v>
      </c>
      <c r="H224" s="1" t="s">
        <v>254</v>
      </c>
      <c r="I224" s="1" t="s">
        <v>19</v>
      </c>
      <c r="J224" s="2">
        <v>45383</v>
      </c>
      <c r="K224" s="2">
        <v>45412</v>
      </c>
      <c r="L224">
        <v>5000</v>
      </c>
      <c r="M224">
        <v>3000</v>
      </c>
      <c r="N224" s="1" t="s">
        <v>20</v>
      </c>
    </row>
    <row r="225" spans="1:14" x14ac:dyDescent="0.25">
      <c r="A225">
        <v>224</v>
      </c>
      <c r="B225" s="1" t="s">
        <v>279</v>
      </c>
      <c r="C225" s="1" t="s">
        <v>280</v>
      </c>
      <c r="D225" s="1" t="s">
        <v>36</v>
      </c>
      <c r="E225" s="1" t="s">
        <v>138</v>
      </c>
      <c r="F225">
        <v>6</v>
      </c>
      <c r="G225">
        <v>8000</v>
      </c>
      <c r="H225" s="1" t="s">
        <v>139</v>
      </c>
      <c r="I225" s="1" t="s">
        <v>140</v>
      </c>
      <c r="J225" s="2">
        <v>45344</v>
      </c>
      <c r="K225" s="2">
        <v>45369</v>
      </c>
      <c r="L225">
        <v>1000</v>
      </c>
      <c r="M225">
        <v>500</v>
      </c>
      <c r="N225" s="1" t="s">
        <v>33</v>
      </c>
    </row>
    <row r="226" spans="1:14" x14ac:dyDescent="0.25">
      <c r="A226">
        <v>225</v>
      </c>
      <c r="B226" s="1" t="s">
        <v>281</v>
      </c>
      <c r="C226" s="1" t="s">
        <v>100</v>
      </c>
      <c r="D226" s="1" t="s">
        <v>78</v>
      </c>
      <c r="E226" s="1" t="s">
        <v>37</v>
      </c>
      <c r="F226">
        <v>4</v>
      </c>
      <c r="G226">
        <v>40000</v>
      </c>
      <c r="H226" s="1" t="s">
        <v>167</v>
      </c>
      <c r="I226" s="1" t="s">
        <v>39</v>
      </c>
      <c r="J226" s="2">
        <v>45316</v>
      </c>
      <c r="K226" s="2">
        <v>45342</v>
      </c>
      <c r="L226">
        <v>2000</v>
      </c>
      <c r="M226">
        <v>1200</v>
      </c>
      <c r="N226" s="1" t="s">
        <v>20</v>
      </c>
    </row>
    <row r="227" spans="1:14" x14ac:dyDescent="0.25">
      <c r="A227">
        <v>226</v>
      </c>
      <c r="B227" s="1" t="s">
        <v>282</v>
      </c>
      <c r="C227" s="1" t="s">
        <v>135</v>
      </c>
      <c r="D227" s="1" t="s">
        <v>36</v>
      </c>
      <c r="E227" s="1" t="s">
        <v>187</v>
      </c>
      <c r="F227">
        <v>2</v>
      </c>
      <c r="G227">
        <v>5000</v>
      </c>
      <c r="H227" s="1" t="s">
        <v>139</v>
      </c>
      <c r="I227" s="1" t="s">
        <v>140</v>
      </c>
      <c r="J227" s="2">
        <v>45352</v>
      </c>
      <c r="K227" s="2">
        <v>45376</v>
      </c>
      <c r="L227">
        <v>800</v>
      </c>
      <c r="M227">
        <v>500</v>
      </c>
      <c r="N227" s="1" t="s">
        <v>33</v>
      </c>
    </row>
    <row r="228" spans="1:14" x14ac:dyDescent="0.25">
      <c r="A228">
        <v>227</v>
      </c>
      <c r="B228" s="1" t="s">
        <v>283</v>
      </c>
      <c r="C228" s="1" t="s">
        <v>284</v>
      </c>
      <c r="D228" s="1" t="s">
        <v>29</v>
      </c>
      <c r="E228" s="1" t="s">
        <v>216</v>
      </c>
      <c r="F228">
        <v>5</v>
      </c>
      <c r="G228">
        <v>50000</v>
      </c>
      <c r="H228" s="1" t="s">
        <v>146</v>
      </c>
      <c r="I228" s="1" t="s">
        <v>32</v>
      </c>
      <c r="J228" s="2">
        <v>45366</v>
      </c>
      <c r="K228" s="2">
        <v>45392</v>
      </c>
      <c r="L228">
        <v>1800</v>
      </c>
      <c r="M228">
        <v>1000</v>
      </c>
      <c r="N228" s="1" t="s">
        <v>33</v>
      </c>
    </row>
    <row r="229" spans="1:14" x14ac:dyDescent="0.25">
      <c r="A229">
        <v>228</v>
      </c>
      <c r="B229" s="1" t="s">
        <v>263</v>
      </c>
      <c r="C229" s="1" t="s">
        <v>148</v>
      </c>
      <c r="D229" s="1" t="s">
        <v>23</v>
      </c>
      <c r="E229" s="1" t="s">
        <v>62</v>
      </c>
      <c r="F229">
        <v>3</v>
      </c>
      <c r="G229">
        <v>30000</v>
      </c>
      <c r="H229" s="1" t="s">
        <v>63</v>
      </c>
      <c r="I229" s="1" t="s">
        <v>64</v>
      </c>
      <c r="J229" s="2">
        <v>45361</v>
      </c>
      <c r="K229" s="2">
        <v>45387</v>
      </c>
      <c r="L229">
        <v>1500</v>
      </c>
      <c r="M229">
        <v>800</v>
      </c>
      <c r="N229" s="1" t="s">
        <v>40</v>
      </c>
    </row>
    <row r="230" spans="1:14" x14ac:dyDescent="0.25">
      <c r="A230">
        <v>229</v>
      </c>
      <c r="B230" s="1" t="s">
        <v>271</v>
      </c>
      <c r="C230" s="1" t="s">
        <v>272</v>
      </c>
      <c r="D230" s="1" t="s">
        <v>78</v>
      </c>
      <c r="E230" s="1" t="s">
        <v>79</v>
      </c>
      <c r="F230">
        <v>6</v>
      </c>
      <c r="G230">
        <v>10000</v>
      </c>
      <c r="H230" s="1" t="s">
        <v>253</v>
      </c>
      <c r="I230" s="1" t="s">
        <v>19</v>
      </c>
      <c r="J230" s="2">
        <v>45356</v>
      </c>
      <c r="K230" s="2">
        <v>45379</v>
      </c>
      <c r="L230">
        <v>1200</v>
      </c>
      <c r="M230">
        <v>800</v>
      </c>
      <c r="N230" s="1" t="s">
        <v>20</v>
      </c>
    </row>
    <row r="231" spans="1:14" x14ac:dyDescent="0.25">
      <c r="A231">
        <v>230</v>
      </c>
      <c r="B231" s="1" t="s">
        <v>262</v>
      </c>
      <c r="C231" s="1" t="s">
        <v>160</v>
      </c>
      <c r="D231" s="1" t="s">
        <v>36</v>
      </c>
      <c r="E231" s="1" t="s">
        <v>229</v>
      </c>
      <c r="F231">
        <v>4</v>
      </c>
      <c r="G231">
        <v>5000</v>
      </c>
      <c r="H231" s="1" t="s">
        <v>139</v>
      </c>
      <c r="I231" s="1" t="s">
        <v>140</v>
      </c>
      <c r="J231" s="2">
        <v>45350</v>
      </c>
      <c r="K231" s="2">
        <v>45376</v>
      </c>
      <c r="L231">
        <v>800</v>
      </c>
      <c r="M231">
        <v>500</v>
      </c>
      <c r="N231" s="1" t="s">
        <v>33</v>
      </c>
    </row>
    <row r="232" spans="1:14" x14ac:dyDescent="0.25">
      <c r="A232">
        <v>231</v>
      </c>
      <c r="B232" s="1" t="s">
        <v>285</v>
      </c>
      <c r="C232" s="1" t="s">
        <v>280</v>
      </c>
      <c r="D232" s="1" t="s">
        <v>29</v>
      </c>
      <c r="E232" s="1" t="s">
        <v>213</v>
      </c>
      <c r="F232">
        <v>2</v>
      </c>
      <c r="G232">
        <v>20000</v>
      </c>
      <c r="H232" s="1" t="s">
        <v>214</v>
      </c>
      <c r="I232" s="1" t="s">
        <v>32</v>
      </c>
      <c r="J232" s="2">
        <v>45384</v>
      </c>
      <c r="K232" s="2">
        <v>45407</v>
      </c>
      <c r="L232">
        <v>2500</v>
      </c>
      <c r="M232">
        <v>1500</v>
      </c>
      <c r="N232" s="1" t="s">
        <v>20</v>
      </c>
    </row>
    <row r="233" spans="1:14" x14ac:dyDescent="0.25">
      <c r="A233">
        <v>232</v>
      </c>
      <c r="B233" s="1" t="s">
        <v>269</v>
      </c>
      <c r="C233" s="1" t="s">
        <v>118</v>
      </c>
      <c r="D233" s="1" t="s">
        <v>23</v>
      </c>
      <c r="E233" s="1" t="s">
        <v>24</v>
      </c>
      <c r="F233">
        <v>1</v>
      </c>
      <c r="G233">
        <v>200000</v>
      </c>
      <c r="H233" s="1" t="s">
        <v>254</v>
      </c>
      <c r="I233" s="1" t="s">
        <v>19</v>
      </c>
      <c r="J233" s="2">
        <v>45352</v>
      </c>
      <c r="K233" s="2">
        <v>45381</v>
      </c>
      <c r="L233">
        <v>5000</v>
      </c>
      <c r="M233">
        <v>3000</v>
      </c>
      <c r="N233" s="1" t="s">
        <v>20</v>
      </c>
    </row>
    <row r="234" spans="1:14" x14ac:dyDescent="0.25">
      <c r="A234">
        <v>233</v>
      </c>
      <c r="B234" s="1" t="s">
        <v>247</v>
      </c>
      <c r="C234" s="1" t="s">
        <v>248</v>
      </c>
      <c r="D234" s="1" t="s">
        <v>36</v>
      </c>
      <c r="E234" s="1" t="s">
        <v>138</v>
      </c>
      <c r="F234">
        <v>3</v>
      </c>
      <c r="G234">
        <v>8000</v>
      </c>
      <c r="H234" s="1" t="s">
        <v>139</v>
      </c>
      <c r="I234" s="1" t="s">
        <v>140</v>
      </c>
      <c r="J234" s="2">
        <v>45342</v>
      </c>
      <c r="K234" s="2">
        <v>45369</v>
      </c>
      <c r="L234">
        <v>1000</v>
      </c>
      <c r="M234">
        <v>500</v>
      </c>
      <c r="N234" s="1" t="s">
        <v>33</v>
      </c>
    </row>
    <row r="235" spans="1:14" x14ac:dyDescent="0.25">
      <c r="A235">
        <v>234</v>
      </c>
      <c r="B235" s="1" t="s">
        <v>278</v>
      </c>
      <c r="C235" s="1" t="s">
        <v>60</v>
      </c>
      <c r="D235" s="1" t="s">
        <v>78</v>
      </c>
      <c r="E235" s="1" t="s">
        <v>79</v>
      </c>
      <c r="F235">
        <v>4</v>
      </c>
      <c r="G235">
        <v>10000</v>
      </c>
      <c r="H235" s="1" t="s">
        <v>253</v>
      </c>
      <c r="I235" s="1" t="s">
        <v>19</v>
      </c>
      <c r="J235" s="2">
        <v>45366</v>
      </c>
      <c r="K235" s="2">
        <v>45392</v>
      </c>
      <c r="L235">
        <v>1200</v>
      </c>
      <c r="M235">
        <v>800</v>
      </c>
      <c r="N235" s="1" t="s">
        <v>20</v>
      </c>
    </row>
    <row r="236" spans="1:14" x14ac:dyDescent="0.25">
      <c r="A236">
        <v>235</v>
      </c>
      <c r="B236" s="1" t="s">
        <v>279</v>
      </c>
      <c r="C236" s="1" t="s">
        <v>280</v>
      </c>
      <c r="D236" s="1" t="s">
        <v>36</v>
      </c>
      <c r="E236" s="1" t="s">
        <v>187</v>
      </c>
      <c r="F236">
        <v>5</v>
      </c>
      <c r="G236">
        <v>5000</v>
      </c>
      <c r="H236" s="1" t="s">
        <v>139</v>
      </c>
      <c r="I236" s="1" t="s">
        <v>140</v>
      </c>
      <c r="J236" s="2">
        <v>45350</v>
      </c>
      <c r="K236" s="2">
        <v>45376</v>
      </c>
      <c r="L236">
        <v>800</v>
      </c>
      <c r="M236">
        <v>500</v>
      </c>
      <c r="N236" s="1" t="s">
        <v>33</v>
      </c>
    </row>
    <row r="237" spans="1:14" x14ac:dyDescent="0.25">
      <c r="A237">
        <v>236</v>
      </c>
      <c r="B237" s="1" t="s">
        <v>281</v>
      </c>
      <c r="C237" s="1" t="s">
        <v>100</v>
      </c>
      <c r="D237" s="1" t="s">
        <v>23</v>
      </c>
      <c r="E237" s="1" t="s">
        <v>62</v>
      </c>
      <c r="F237">
        <v>2</v>
      </c>
      <c r="G237">
        <v>30000</v>
      </c>
      <c r="H237" s="1" t="s">
        <v>63</v>
      </c>
      <c r="I237" s="1" t="s">
        <v>64</v>
      </c>
      <c r="J237" s="2">
        <v>45332</v>
      </c>
      <c r="K237" s="2">
        <v>45356</v>
      </c>
      <c r="L237">
        <v>1500</v>
      </c>
      <c r="M237">
        <v>800</v>
      </c>
      <c r="N237" s="1" t="s">
        <v>40</v>
      </c>
    </row>
    <row r="238" spans="1:14" x14ac:dyDescent="0.25">
      <c r="A238">
        <v>237</v>
      </c>
      <c r="B238" s="1" t="s">
        <v>282</v>
      </c>
      <c r="C238" s="1" t="s">
        <v>135</v>
      </c>
      <c r="D238" s="1" t="s">
        <v>29</v>
      </c>
      <c r="E238" s="1" t="s">
        <v>216</v>
      </c>
      <c r="F238">
        <v>3</v>
      </c>
      <c r="G238">
        <v>50000</v>
      </c>
      <c r="H238" s="1" t="s">
        <v>146</v>
      </c>
      <c r="I238" s="1" t="s">
        <v>32</v>
      </c>
      <c r="J238" s="2">
        <v>45356</v>
      </c>
      <c r="K238" s="2">
        <v>45379</v>
      </c>
      <c r="L238">
        <v>1800</v>
      </c>
      <c r="M238">
        <v>1000</v>
      </c>
      <c r="N238" s="1" t="s">
        <v>33</v>
      </c>
    </row>
    <row r="239" spans="1:14" x14ac:dyDescent="0.25">
      <c r="A239">
        <v>238</v>
      </c>
      <c r="B239" s="1" t="s">
        <v>283</v>
      </c>
      <c r="C239" s="1" t="s">
        <v>284</v>
      </c>
      <c r="D239" s="1" t="s">
        <v>78</v>
      </c>
      <c r="E239" s="1" t="s">
        <v>37</v>
      </c>
      <c r="F239">
        <v>5</v>
      </c>
      <c r="G239">
        <v>40000</v>
      </c>
      <c r="H239" s="1" t="s">
        <v>167</v>
      </c>
      <c r="I239" s="1" t="s">
        <v>39</v>
      </c>
      <c r="J239" s="2">
        <v>45311</v>
      </c>
      <c r="K239" s="2">
        <v>45337</v>
      </c>
      <c r="L239">
        <v>2000</v>
      </c>
      <c r="M239">
        <v>1200</v>
      </c>
      <c r="N239" s="1" t="s">
        <v>20</v>
      </c>
    </row>
    <row r="240" spans="1:14" x14ac:dyDescent="0.25">
      <c r="A240">
        <v>239</v>
      </c>
      <c r="B240" s="1" t="s">
        <v>263</v>
      </c>
      <c r="C240" s="1" t="s">
        <v>148</v>
      </c>
      <c r="D240" s="1" t="s">
        <v>36</v>
      </c>
      <c r="E240" s="1" t="s">
        <v>229</v>
      </c>
      <c r="F240">
        <v>3</v>
      </c>
      <c r="G240">
        <v>5000</v>
      </c>
      <c r="H240" s="1" t="s">
        <v>139</v>
      </c>
      <c r="I240" s="1" t="s">
        <v>140</v>
      </c>
      <c r="J240" s="2">
        <v>45337</v>
      </c>
      <c r="K240" s="2">
        <v>45361</v>
      </c>
      <c r="L240">
        <v>800</v>
      </c>
      <c r="M240">
        <v>500</v>
      </c>
      <c r="N240" s="1" t="s">
        <v>33</v>
      </c>
    </row>
    <row r="241" spans="1:14" x14ac:dyDescent="0.25">
      <c r="A241">
        <v>240</v>
      </c>
      <c r="B241" s="1" t="s">
        <v>271</v>
      </c>
      <c r="C241" s="1" t="s">
        <v>272</v>
      </c>
      <c r="D241" s="1" t="s">
        <v>23</v>
      </c>
      <c r="E241" s="1" t="s">
        <v>149</v>
      </c>
      <c r="F241">
        <v>7</v>
      </c>
      <c r="G241">
        <v>80000</v>
      </c>
      <c r="H241" s="1" t="s">
        <v>252</v>
      </c>
      <c r="I241" s="1" t="s">
        <v>52</v>
      </c>
      <c r="J241" s="2">
        <v>45402</v>
      </c>
      <c r="K241" s="2">
        <v>45427</v>
      </c>
      <c r="L241">
        <v>3000</v>
      </c>
      <c r="M241">
        <v>2000</v>
      </c>
      <c r="N241" s="1" t="s">
        <v>20</v>
      </c>
    </row>
    <row r="242" spans="1:14" x14ac:dyDescent="0.25">
      <c r="A242">
        <v>241</v>
      </c>
      <c r="B242" s="1" t="s">
        <v>262</v>
      </c>
      <c r="C242" s="1" t="s">
        <v>160</v>
      </c>
      <c r="D242" s="1" t="s">
        <v>29</v>
      </c>
      <c r="E242" s="1" t="s">
        <v>213</v>
      </c>
      <c r="F242">
        <v>4</v>
      </c>
      <c r="G242">
        <v>20000</v>
      </c>
      <c r="H242" s="1" t="s">
        <v>214</v>
      </c>
      <c r="I242" s="1" t="s">
        <v>32</v>
      </c>
      <c r="J242" s="2">
        <v>45353</v>
      </c>
      <c r="K242" s="2">
        <v>45376</v>
      </c>
      <c r="L242">
        <v>2500</v>
      </c>
      <c r="M242">
        <v>1500</v>
      </c>
      <c r="N242" s="1" t="s">
        <v>20</v>
      </c>
    </row>
    <row r="243" spans="1:14" x14ac:dyDescent="0.25">
      <c r="A243">
        <v>242</v>
      </c>
      <c r="B243" s="1" t="s">
        <v>285</v>
      </c>
      <c r="C243" s="1" t="s">
        <v>280</v>
      </c>
      <c r="D243" s="1" t="s">
        <v>23</v>
      </c>
      <c r="E243" s="1" t="s">
        <v>24</v>
      </c>
      <c r="F243">
        <v>2</v>
      </c>
      <c r="G243">
        <v>200000</v>
      </c>
      <c r="H243" s="1" t="s">
        <v>254</v>
      </c>
      <c r="I243" s="1" t="s">
        <v>19</v>
      </c>
      <c r="J243" s="2">
        <v>45383</v>
      </c>
      <c r="K243" s="2">
        <v>45412</v>
      </c>
      <c r="L243">
        <v>5000</v>
      </c>
      <c r="M243">
        <v>3000</v>
      </c>
      <c r="N243" s="1" t="s">
        <v>20</v>
      </c>
    </row>
    <row r="244" spans="1:14" x14ac:dyDescent="0.25">
      <c r="A244">
        <v>243</v>
      </c>
      <c r="B244" s="1" t="s">
        <v>269</v>
      </c>
      <c r="C244" s="1" t="s">
        <v>118</v>
      </c>
      <c r="D244" s="1" t="s">
        <v>36</v>
      </c>
      <c r="E244" s="1" t="s">
        <v>138</v>
      </c>
      <c r="F244">
        <v>3</v>
      </c>
      <c r="G244">
        <v>8000</v>
      </c>
      <c r="H244" s="1" t="s">
        <v>139</v>
      </c>
      <c r="I244" s="1" t="s">
        <v>140</v>
      </c>
      <c r="J244" s="2">
        <v>45366</v>
      </c>
      <c r="K244" s="2">
        <v>45392</v>
      </c>
      <c r="L244">
        <v>1000</v>
      </c>
      <c r="M244">
        <v>500</v>
      </c>
      <c r="N244" s="1" t="s">
        <v>33</v>
      </c>
    </row>
    <row r="245" spans="1:14" x14ac:dyDescent="0.25">
      <c r="A245">
        <v>244</v>
      </c>
      <c r="B245" s="1" t="s">
        <v>247</v>
      </c>
      <c r="C245" s="1" t="s">
        <v>248</v>
      </c>
      <c r="D245" s="1" t="s">
        <v>78</v>
      </c>
      <c r="E245" s="1" t="s">
        <v>79</v>
      </c>
      <c r="F245">
        <v>2</v>
      </c>
      <c r="G245">
        <v>10000</v>
      </c>
      <c r="H245" s="1" t="s">
        <v>253</v>
      </c>
      <c r="I245" s="1" t="s">
        <v>19</v>
      </c>
      <c r="J245" s="2">
        <v>45369</v>
      </c>
      <c r="K245" s="2">
        <v>45394</v>
      </c>
      <c r="L245">
        <v>1200</v>
      </c>
      <c r="M245">
        <v>800</v>
      </c>
      <c r="N245" s="1" t="s">
        <v>20</v>
      </c>
    </row>
    <row r="246" spans="1:14" x14ac:dyDescent="0.25">
      <c r="A246">
        <v>245</v>
      </c>
      <c r="B246" s="1" t="s">
        <v>278</v>
      </c>
      <c r="C246" s="1" t="s">
        <v>60</v>
      </c>
      <c r="D246" s="1" t="s">
        <v>23</v>
      </c>
      <c r="E246" s="1" t="s">
        <v>62</v>
      </c>
      <c r="F246">
        <v>3</v>
      </c>
      <c r="G246">
        <v>30000</v>
      </c>
      <c r="H246" s="1" t="s">
        <v>63</v>
      </c>
      <c r="I246" s="1" t="s">
        <v>64</v>
      </c>
      <c r="J246" s="2">
        <v>45361</v>
      </c>
      <c r="K246" s="2">
        <v>45387</v>
      </c>
      <c r="L246">
        <v>1500</v>
      </c>
      <c r="M246">
        <v>800</v>
      </c>
      <c r="N246" s="1" t="s">
        <v>40</v>
      </c>
    </row>
    <row r="247" spans="1:14" x14ac:dyDescent="0.25">
      <c r="A247">
        <v>246</v>
      </c>
      <c r="B247" s="1" t="s">
        <v>279</v>
      </c>
      <c r="C247" s="1" t="s">
        <v>280</v>
      </c>
      <c r="D247" s="1" t="s">
        <v>36</v>
      </c>
      <c r="E247" s="1" t="s">
        <v>187</v>
      </c>
      <c r="F247">
        <v>4</v>
      </c>
      <c r="G247">
        <v>5000</v>
      </c>
      <c r="H247" s="1" t="s">
        <v>139</v>
      </c>
      <c r="I247" s="1" t="s">
        <v>140</v>
      </c>
      <c r="J247" s="2">
        <v>45352</v>
      </c>
      <c r="K247" s="2">
        <v>45376</v>
      </c>
      <c r="L247">
        <v>800</v>
      </c>
      <c r="M247">
        <v>500</v>
      </c>
      <c r="N247" s="1" t="s">
        <v>33</v>
      </c>
    </row>
    <row r="248" spans="1:14" x14ac:dyDescent="0.25">
      <c r="A248">
        <v>247</v>
      </c>
      <c r="B248" s="1" t="s">
        <v>281</v>
      </c>
      <c r="C248" s="1" t="s">
        <v>100</v>
      </c>
      <c r="D248" s="1" t="s">
        <v>29</v>
      </c>
      <c r="E248" s="1" t="s">
        <v>216</v>
      </c>
      <c r="F248">
        <v>5</v>
      </c>
      <c r="G248">
        <v>50000</v>
      </c>
      <c r="H248" s="1" t="s">
        <v>146</v>
      </c>
      <c r="I248" s="1" t="s">
        <v>32</v>
      </c>
      <c r="J248" s="2">
        <v>45366</v>
      </c>
      <c r="K248" s="2">
        <v>45392</v>
      </c>
      <c r="L248">
        <v>1800</v>
      </c>
      <c r="M248">
        <v>1000</v>
      </c>
      <c r="N248" s="1" t="s">
        <v>33</v>
      </c>
    </row>
    <row r="249" spans="1:14" x14ac:dyDescent="0.25">
      <c r="A249">
        <v>248</v>
      </c>
      <c r="B249" s="1" t="s">
        <v>282</v>
      </c>
      <c r="C249" s="1" t="s">
        <v>135</v>
      </c>
      <c r="D249" s="1" t="s">
        <v>78</v>
      </c>
      <c r="E249" s="1" t="s">
        <v>37</v>
      </c>
      <c r="F249">
        <v>2</v>
      </c>
      <c r="G249">
        <v>40000</v>
      </c>
      <c r="H249" s="1" t="s">
        <v>167</v>
      </c>
      <c r="I249" s="1" t="s">
        <v>39</v>
      </c>
      <c r="J249" s="2">
        <v>45311</v>
      </c>
      <c r="K249" s="2">
        <v>45337</v>
      </c>
      <c r="L249">
        <v>2000</v>
      </c>
      <c r="M249">
        <v>1200</v>
      </c>
      <c r="N249" s="1" t="s">
        <v>20</v>
      </c>
    </row>
    <row r="250" spans="1:14" x14ac:dyDescent="0.25">
      <c r="A250">
        <v>249</v>
      </c>
      <c r="B250" s="1" t="s">
        <v>283</v>
      </c>
      <c r="C250" s="1" t="s">
        <v>284</v>
      </c>
      <c r="D250" s="1" t="s">
        <v>36</v>
      </c>
      <c r="E250" s="1" t="s">
        <v>229</v>
      </c>
      <c r="F250">
        <v>3</v>
      </c>
      <c r="G250">
        <v>5000</v>
      </c>
      <c r="H250" s="1" t="s">
        <v>139</v>
      </c>
      <c r="I250" s="1" t="s">
        <v>140</v>
      </c>
      <c r="J250" s="2">
        <v>45337</v>
      </c>
      <c r="K250" s="2">
        <v>45361</v>
      </c>
      <c r="L250">
        <v>800</v>
      </c>
      <c r="M250">
        <v>500</v>
      </c>
      <c r="N250" s="1" t="s">
        <v>33</v>
      </c>
    </row>
    <row r="251" spans="1:14" x14ac:dyDescent="0.25">
      <c r="A251">
        <v>250</v>
      </c>
      <c r="B251" s="1" t="s">
        <v>263</v>
      </c>
      <c r="C251" s="1" t="s">
        <v>148</v>
      </c>
      <c r="D251" s="1" t="s">
        <v>23</v>
      </c>
      <c r="E251" s="1" t="s">
        <v>149</v>
      </c>
      <c r="F251">
        <v>7</v>
      </c>
      <c r="G251">
        <v>80000</v>
      </c>
      <c r="H251" s="1" t="s">
        <v>252</v>
      </c>
      <c r="I251" s="1" t="s">
        <v>52</v>
      </c>
      <c r="J251" s="2">
        <v>45402</v>
      </c>
      <c r="K251" s="2">
        <v>45427</v>
      </c>
      <c r="L251">
        <v>3000</v>
      </c>
      <c r="M251">
        <v>2000</v>
      </c>
      <c r="N251" s="1" t="s">
        <v>20</v>
      </c>
    </row>
    <row r="252" spans="1:14" x14ac:dyDescent="0.25">
      <c r="A252">
        <v>251</v>
      </c>
      <c r="B252" s="1" t="s">
        <v>271</v>
      </c>
      <c r="C252" s="1" t="s">
        <v>272</v>
      </c>
      <c r="D252" s="1" t="s">
        <v>29</v>
      </c>
      <c r="E252" s="1" t="s">
        <v>213</v>
      </c>
      <c r="F252">
        <v>4</v>
      </c>
      <c r="G252">
        <v>20000</v>
      </c>
      <c r="H252" s="1" t="s">
        <v>214</v>
      </c>
      <c r="I252" s="1" t="s">
        <v>32</v>
      </c>
      <c r="J252" s="2">
        <v>45353</v>
      </c>
      <c r="K252" s="2">
        <v>45376</v>
      </c>
      <c r="L252">
        <v>2500</v>
      </c>
      <c r="M252">
        <v>1500</v>
      </c>
      <c r="N252" s="1" t="s">
        <v>20</v>
      </c>
    </row>
    <row r="253" spans="1:14" x14ac:dyDescent="0.25">
      <c r="A253">
        <v>252</v>
      </c>
      <c r="B253" s="1" t="s">
        <v>262</v>
      </c>
      <c r="C253" s="1" t="s">
        <v>160</v>
      </c>
      <c r="D253" s="1" t="s">
        <v>78</v>
      </c>
      <c r="E253" s="1" t="s">
        <v>79</v>
      </c>
      <c r="F253">
        <v>2</v>
      </c>
      <c r="G253">
        <v>10000</v>
      </c>
      <c r="H253" s="1" t="s">
        <v>253</v>
      </c>
      <c r="I253" s="1" t="s">
        <v>19</v>
      </c>
      <c r="J253" s="2">
        <v>45369</v>
      </c>
      <c r="K253" s="2">
        <v>45394</v>
      </c>
      <c r="L253">
        <v>1200</v>
      </c>
      <c r="M253">
        <v>800</v>
      </c>
      <c r="N253" s="1" t="s">
        <v>20</v>
      </c>
    </row>
    <row r="254" spans="1:14" x14ac:dyDescent="0.25">
      <c r="A254">
        <v>253</v>
      </c>
      <c r="B254" s="1" t="s">
        <v>285</v>
      </c>
      <c r="C254" s="1" t="s">
        <v>280</v>
      </c>
      <c r="D254" s="1" t="s">
        <v>23</v>
      </c>
      <c r="E254" s="1" t="s">
        <v>62</v>
      </c>
      <c r="F254">
        <v>3</v>
      </c>
      <c r="G254">
        <v>30000</v>
      </c>
      <c r="H254" s="1" t="s">
        <v>63</v>
      </c>
      <c r="I254" s="1" t="s">
        <v>64</v>
      </c>
      <c r="J254" s="2">
        <v>45332</v>
      </c>
      <c r="K254" s="2">
        <v>45356</v>
      </c>
      <c r="L254">
        <v>1500</v>
      </c>
      <c r="M254">
        <v>800</v>
      </c>
      <c r="N254" s="1" t="s">
        <v>40</v>
      </c>
    </row>
    <row r="255" spans="1:14" x14ac:dyDescent="0.25">
      <c r="A255">
        <v>254</v>
      </c>
      <c r="B255" s="1" t="s">
        <v>269</v>
      </c>
      <c r="C255" s="1" t="s">
        <v>118</v>
      </c>
      <c r="D255" s="1" t="s">
        <v>29</v>
      </c>
      <c r="E255" s="1" t="s">
        <v>216</v>
      </c>
      <c r="F255">
        <v>4</v>
      </c>
      <c r="G255">
        <v>50000</v>
      </c>
      <c r="H255" s="1" t="s">
        <v>146</v>
      </c>
      <c r="I255" s="1" t="s">
        <v>32</v>
      </c>
      <c r="J255" s="2">
        <v>45356</v>
      </c>
      <c r="K255" s="2">
        <v>45379</v>
      </c>
      <c r="L255">
        <v>1800</v>
      </c>
      <c r="M255">
        <v>1000</v>
      </c>
      <c r="N255" s="1" t="s">
        <v>33</v>
      </c>
    </row>
    <row r="256" spans="1:14" x14ac:dyDescent="0.25">
      <c r="A256">
        <v>255</v>
      </c>
      <c r="B256" s="1" t="s">
        <v>247</v>
      </c>
      <c r="C256" s="1" t="s">
        <v>248</v>
      </c>
      <c r="D256" s="1" t="s">
        <v>36</v>
      </c>
      <c r="E256" s="1" t="s">
        <v>187</v>
      </c>
      <c r="F256">
        <v>5</v>
      </c>
      <c r="G256">
        <v>5000</v>
      </c>
      <c r="H256" s="1" t="s">
        <v>139</v>
      </c>
      <c r="I256" s="1" t="s">
        <v>140</v>
      </c>
      <c r="J256" s="2">
        <v>45350</v>
      </c>
      <c r="K256" s="2">
        <v>45376</v>
      </c>
      <c r="L256">
        <v>800</v>
      </c>
      <c r="M256">
        <v>500</v>
      </c>
      <c r="N256" s="1" t="s">
        <v>33</v>
      </c>
    </row>
    <row r="257" spans="1:14" x14ac:dyDescent="0.25">
      <c r="A257">
        <v>256</v>
      </c>
      <c r="B257" s="1" t="s">
        <v>278</v>
      </c>
      <c r="C257" s="1" t="s">
        <v>60</v>
      </c>
      <c r="D257" s="1" t="s">
        <v>78</v>
      </c>
      <c r="E257" s="1" t="s">
        <v>37</v>
      </c>
      <c r="F257">
        <v>3</v>
      </c>
      <c r="G257">
        <v>40000</v>
      </c>
      <c r="H257" s="1" t="s">
        <v>167</v>
      </c>
      <c r="I257" s="1" t="s">
        <v>39</v>
      </c>
      <c r="J257" s="2">
        <v>45311</v>
      </c>
      <c r="K257" s="2">
        <v>45337</v>
      </c>
      <c r="L257">
        <v>2000</v>
      </c>
      <c r="M257">
        <v>1200</v>
      </c>
      <c r="N257" s="1" t="s">
        <v>20</v>
      </c>
    </row>
    <row r="258" spans="1:14" x14ac:dyDescent="0.25">
      <c r="A258">
        <v>257</v>
      </c>
      <c r="B258" s="1" t="s">
        <v>279</v>
      </c>
      <c r="C258" s="1" t="s">
        <v>280</v>
      </c>
      <c r="D258" s="1" t="s">
        <v>36</v>
      </c>
      <c r="E258" s="1" t="s">
        <v>229</v>
      </c>
      <c r="F258">
        <v>4</v>
      </c>
      <c r="G258">
        <v>5000</v>
      </c>
      <c r="H258" s="1" t="s">
        <v>139</v>
      </c>
      <c r="I258" s="1" t="s">
        <v>140</v>
      </c>
      <c r="J258" s="2">
        <v>45337</v>
      </c>
      <c r="K258" s="2">
        <v>45361</v>
      </c>
      <c r="L258">
        <v>800</v>
      </c>
      <c r="M258">
        <v>500</v>
      </c>
      <c r="N258" s="1" t="s">
        <v>33</v>
      </c>
    </row>
    <row r="259" spans="1:14" x14ac:dyDescent="0.25">
      <c r="A259">
        <v>258</v>
      </c>
      <c r="B259" s="1" t="s">
        <v>281</v>
      </c>
      <c r="C259" s="1" t="s">
        <v>100</v>
      </c>
      <c r="D259" s="1" t="s">
        <v>23</v>
      </c>
      <c r="E259" s="1" t="s">
        <v>149</v>
      </c>
      <c r="F259">
        <v>7</v>
      </c>
      <c r="G259">
        <v>80000</v>
      </c>
      <c r="H259" s="1" t="s">
        <v>252</v>
      </c>
      <c r="I259" s="1" t="s">
        <v>52</v>
      </c>
      <c r="J259" s="2">
        <v>45402</v>
      </c>
      <c r="K259" s="2">
        <v>45427</v>
      </c>
      <c r="L259">
        <v>3000</v>
      </c>
      <c r="M259">
        <v>2000</v>
      </c>
      <c r="N259" s="1" t="s">
        <v>20</v>
      </c>
    </row>
    <row r="260" spans="1:14" x14ac:dyDescent="0.25">
      <c r="A260">
        <v>259</v>
      </c>
      <c r="B260" s="1" t="s">
        <v>282</v>
      </c>
      <c r="C260" s="1" t="s">
        <v>135</v>
      </c>
      <c r="D260" s="1" t="s">
        <v>29</v>
      </c>
      <c r="E260" s="1" t="s">
        <v>213</v>
      </c>
      <c r="F260">
        <v>2</v>
      </c>
      <c r="G260">
        <v>20000</v>
      </c>
      <c r="H260" s="1" t="s">
        <v>214</v>
      </c>
      <c r="I260" s="1" t="s">
        <v>32</v>
      </c>
      <c r="J260" s="2">
        <v>45353</v>
      </c>
      <c r="K260" s="2">
        <v>45376</v>
      </c>
      <c r="L260">
        <v>2500</v>
      </c>
      <c r="M260">
        <v>1500</v>
      </c>
      <c r="N260" s="1" t="s">
        <v>20</v>
      </c>
    </row>
    <row r="261" spans="1:14" x14ac:dyDescent="0.25">
      <c r="A261">
        <v>260</v>
      </c>
      <c r="B261" s="1" t="s">
        <v>283</v>
      </c>
      <c r="C261" s="1" t="s">
        <v>284</v>
      </c>
      <c r="D261" s="1" t="s">
        <v>78</v>
      </c>
      <c r="E261" s="1" t="s">
        <v>79</v>
      </c>
      <c r="F261">
        <v>3</v>
      </c>
      <c r="G261">
        <v>10000</v>
      </c>
      <c r="H261" s="1" t="s">
        <v>253</v>
      </c>
      <c r="I261" s="1" t="s">
        <v>19</v>
      </c>
      <c r="J261" s="2">
        <v>45369</v>
      </c>
      <c r="K261" s="2">
        <v>45394</v>
      </c>
      <c r="L261">
        <v>1200</v>
      </c>
      <c r="M261">
        <v>800</v>
      </c>
      <c r="N261" s="1"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7A6D5-FB7A-4A04-BB7C-4B3985F521DA}">
  <sheetPr>
    <tabColor rgb="FF92D050"/>
  </sheetPr>
  <dimension ref="A1:V89"/>
  <sheetViews>
    <sheetView workbookViewId="0">
      <selection activeCell="G26" sqref="G26"/>
    </sheetView>
  </sheetViews>
  <sheetFormatPr defaultRowHeight="15" x14ac:dyDescent="0.25"/>
  <cols>
    <col min="1" max="1" width="27.5703125" bestFit="1" customWidth="1"/>
    <col min="2" max="2" width="22.7109375" bestFit="1" customWidth="1"/>
    <col min="3" max="3" width="19" bestFit="1" customWidth="1"/>
    <col min="4" max="4" width="28" bestFit="1" customWidth="1"/>
    <col min="5" max="5" width="14.85546875" bestFit="1" customWidth="1"/>
    <col min="6" max="6" width="10.42578125" bestFit="1" customWidth="1"/>
    <col min="7" max="7" width="16.140625" bestFit="1" customWidth="1"/>
    <col min="8" max="8" width="16.85546875" bestFit="1" customWidth="1"/>
    <col min="9" max="9" width="12.140625" bestFit="1" customWidth="1"/>
    <col min="10" max="10" width="10.42578125" bestFit="1" customWidth="1"/>
    <col min="11" max="11" width="12" bestFit="1" customWidth="1"/>
    <col min="12" max="12" width="11.28515625" bestFit="1" customWidth="1"/>
    <col min="13" max="13" width="15" customWidth="1"/>
    <col min="14" max="14" width="4.5703125" bestFit="1" customWidth="1"/>
    <col min="15" max="15" width="3.42578125" bestFit="1" customWidth="1"/>
    <col min="16" max="16" width="4.5703125" bestFit="1" customWidth="1"/>
    <col min="17" max="17" width="16.85546875" bestFit="1" customWidth="1"/>
    <col min="18" max="18" width="15.5703125" bestFit="1" customWidth="1"/>
    <col min="19" max="19" width="10" bestFit="1" customWidth="1"/>
    <col min="20" max="20" width="14.85546875" bestFit="1" customWidth="1"/>
    <col min="21" max="21" width="12.7109375" bestFit="1" customWidth="1"/>
    <col min="22" max="22" width="13.85546875" customWidth="1"/>
    <col min="23" max="23" width="14.140625" bestFit="1" customWidth="1"/>
    <col min="24" max="25" width="7.85546875" bestFit="1" customWidth="1"/>
    <col min="26" max="26" width="11.28515625" bestFit="1" customWidth="1"/>
  </cols>
  <sheetData>
    <row r="1" spans="1:22" x14ac:dyDescent="0.25">
      <c r="Q1" t="s">
        <v>319</v>
      </c>
    </row>
    <row r="2" spans="1:22" x14ac:dyDescent="0.25">
      <c r="C2" s="5" t="s">
        <v>308</v>
      </c>
      <c r="D2" t="s">
        <v>305</v>
      </c>
      <c r="Q2" s="5" t="s">
        <v>308</v>
      </c>
      <c r="R2" t="s">
        <v>311</v>
      </c>
    </row>
    <row r="3" spans="1:22" x14ac:dyDescent="0.25">
      <c r="A3" t="s">
        <v>307</v>
      </c>
      <c r="C3" s="6" t="s">
        <v>24</v>
      </c>
      <c r="D3" s="7">
        <v>57000</v>
      </c>
      <c r="Q3" s="6" t="s">
        <v>140</v>
      </c>
      <c r="R3" s="1">
        <v>163</v>
      </c>
      <c r="U3" t="str">
        <f>Q3</f>
        <v>Australia</v>
      </c>
      <c r="V3">
        <f>R3</f>
        <v>163</v>
      </c>
    </row>
    <row r="4" spans="1:22" x14ac:dyDescent="0.25">
      <c r="A4" s="3">
        <v>612</v>
      </c>
      <c r="C4" s="6" t="s">
        <v>149</v>
      </c>
      <c r="D4" s="7">
        <v>41000</v>
      </c>
      <c r="Q4" s="6" t="s">
        <v>19</v>
      </c>
      <c r="R4" s="1">
        <v>118</v>
      </c>
      <c r="U4" t="str">
        <f>Q4</f>
        <v>USA</v>
      </c>
      <c r="V4">
        <f>R4</f>
        <v>118</v>
      </c>
    </row>
    <row r="5" spans="1:22" x14ac:dyDescent="0.25">
      <c r="C5" s="6" t="s">
        <v>213</v>
      </c>
      <c r="D5" s="7">
        <v>40000</v>
      </c>
      <c r="Q5" s="6" t="s">
        <v>32</v>
      </c>
      <c r="R5" s="1">
        <v>94</v>
      </c>
      <c r="U5" t="str">
        <f>Q5</f>
        <v>UAE</v>
      </c>
      <c r="V5">
        <f>R5</f>
        <v>94</v>
      </c>
    </row>
    <row r="6" spans="1:22" x14ac:dyDescent="0.25">
      <c r="C6" s="6" t="s">
        <v>37</v>
      </c>
      <c r="D6" s="7">
        <v>33000</v>
      </c>
      <c r="Q6" s="6" t="s">
        <v>52</v>
      </c>
      <c r="R6" s="1">
        <v>60</v>
      </c>
      <c r="U6" t="str">
        <f>Q6</f>
        <v>Germany</v>
      </c>
      <c r="V6">
        <f>R6</f>
        <v>60</v>
      </c>
    </row>
    <row r="7" spans="1:22" x14ac:dyDescent="0.25">
      <c r="A7" t="s">
        <v>302</v>
      </c>
      <c r="C7" s="6" t="s">
        <v>216</v>
      </c>
      <c r="D7" s="7">
        <v>32600</v>
      </c>
      <c r="Q7" s="6" t="s">
        <v>64</v>
      </c>
      <c r="R7" s="1">
        <v>59</v>
      </c>
      <c r="U7" t="str">
        <f>Q7</f>
        <v>France</v>
      </c>
      <c r="V7">
        <f>R7</f>
        <v>59</v>
      </c>
    </row>
    <row r="8" spans="1:22" x14ac:dyDescent="0.25">
      <c r="A8" s="7">
        <v>20910500</v>
      </c>
      <c r="C8" s="6" t="s">
        <v>309</v>
      </c>
      <c r="D8" s="7">
        <v>203600</v>
      </c>
      <c r="Q8" s="6" t="s">
        <v>309</v>
      </c>
      <c r="R8" s="1">
        <v>494</v>
      </c>
    </row>
    <row r="11" spans="1:22" x14ac:dyDescent="0.25">
      <c r="A11" t="s">
        <v>303</v>
      </c>
      <c r="C11" s="6" t="s">
        <v>314</v>
      </c>
    </row>
    <row r="12" spans="1:22" x14ac:dyDescent="0.25">
      <c r="A12" s="7">
        <v>37405</v>
      </c>
      <c r="C12" s="5" t="s">
        <v>308</v>
      </c>
      <c r="D12" t="s">
        <v>305</v>
      </c>
      <c r="G12" s="5" t="s">
        <v>311</v>
      </c>
      <c r="H12" s="5" t="s">
        <v>310</v>
      </c>
    </row>
    <row r="13" spans="1:22" x14ac:dyDescent="0.25">
      <c r="C13" s="6" t="s">
        <v>24</v>
      </c>
      <c r="D13" s="7">
        <v>57000</v>
      </c>
      <c r="G13" s="5" t="s">
        <v>308</v>
      </c>
      <c r="H13" t="s">
        <v>20</v>
      </c>
      <c r="I13" t="s">
        <v>40</v>
      </c>
      <c r="J13" t="s">
        <v>133</v>
      </c>
      <c r="K13" t="s">
        <v>33</v>
      </c>
      <c r="L13" t="s">
        <v>309</v>
      </c>
    </row>
    <row r="14" spans="1:22" x14ac:dyDescent="0.25">
      <c r="C14" s="6" t="s">
        <v>149</v>
      </c>
      <c r="D14" s="7">
        <v>41000</v>
      </c>
      <c r="G14" s="6" t="s">
        <v>16</v>
      </c>
      <c r="H14" s="1">
        <v>4</v>
      </c>
      <c r="I14" s="1">
        <v>2</v>
      </c>
      <c r="J14" s="1">
        <v>2</v>
      </c>
      <c r="K14" s="1">
        <v>3</v>
      </c>
      <c r="L14" s="1">
        <v>11</v>
      </c>
    </row>
    <row r="15" spans="1:22" x14ac:dyDescent="0.25">
      <c r="A15" t="s">
        <v>304</v>
      </c>
      <c r="C15" s="6" t="s">
        <v>213</v>
      </c>
      <c r="D15" s="7">
        <v>40000</v>
      </c>
      <c r="G15" s="6" t="s">
        <v>101</v>
      </c>
      <c r="H15" s="1">
        <v>1</v>
      </c>
      <c r="I15" s="1">
        <v>1</v>
      </c>
      <c r="J15" s="1"/>
      <c r="K15" s="1"/>
      <c r="L15" s="1">
        <v>2</v>
      </c>
    </row>
    <row r="16" spans="1:22" x14ac:dyDescent="0.25">
      <c r="A16" s="4">
        <v>25.296153846153846</v>
      </c>
      <c r="C16" s="6" t="s">
        <v>37</v>
      </c>
      <c r="D16" s="7">
        <v>33000</v>
      </c>
      <c r="G16" s="6" t="s">
        <v>78</v>
      </c>
      <c r="H16" s="1">
        <v>110</v>
      </c>
      <c r="I16" s="1">
        <v>2</v>
      </c>
      <c r="J16" s="1"/>
      <c r="K16" s="1"/>
      <c r="L16" s="1">
        <v>112</v>
      </c>
    </row>
    <row r="17" spans="1:22" x14ac:dyDescent="0.25">
      <c r="C17" s="6" t="s">
        <v>216</v>
      </c>
      <c r="D17" s="7">
        <v>32600</v>
      </c>
      <c r="G17" s="6" t="s">
        <v>119</v>
      </c>
      <c r="H17" s="1">
        <v>3</v>
      </c>
      <c r="I17" s="1"/>
      <c r="J17" s="1">
        <v>7</v>
      </c>
      <c r="K17" s="1"/>
      <c r="L17" s="1">
        <v>10</v>
      </c>
    </row>
    <row r="18" spans="1:22" x14ac:dyDescent="0.25">
      <c r="C18" s="6" t="s">
        <v>309</v>
      </c>
      <c r="D18" s="7">
        <v>203600</v>
      </c>
      <c r="G18" s="6" t="s">
        <v>110</v>
      </c>
      <c r="H18" s="1">
        <v>4</v>
      </c>
      <c r="I18" s="1"/>
      <c r="J18" s="1"/>
      <c r="K18" s="1"/>
      <c r="L18" s="1">
        <v>4</v>
      </c>
      <c r="Q18" t="s">
        <v>320</v>
      </c>
    </row>
    <row r="19" spans="1:22" x14ac:dyDescent="0.25">
      <c r="A19" t="s">
        <v>305</v>
      </c>
      <c r="G19" s="6" t="s">
        <v>83</v>
      </c>
      <c r="H19" s="1">
        <v>3</v>
      </c>
      <c r="I19" s="1">
        <v>1</v>
      </c>
      <c r="J19" s="1"/>
      <c r="K19" s="1"/>
      <c r="L19" s="1">
        <v>4</v>
      </c>
      <c r="Q19" s="5" t="s">
        <v>308</v>
      </c>
      <c r="R19" t="s">
        <v>306</v>
      </c>
    </row>
    <row r="20" spans="1:22" x14ac:dyDescent="0.25">
      <c r="A20" s="7">
        <v>462600</v>
      </c>
      <c r="C20" t="str">
        <f>C13</f>
        <v>MRI Machine</v>
      </c>
      <c r="D20" s="7">
        <f>D13</f>
        <v>57000</v>
      </c>
      <c r="G20" s="6" t="s">
        <v>73</v>
      </c>
      <c r="H20" s="1">
        <v>4</v>
      </c>
      <c r="I20" s="1">
        <v>8</v>
      </c>
      <c r="J20" s="1"/>
      <c r="K20" s="1"/>
      <c r="L20" s="1">
        <v>12</v>
      </c>
      <c r="Q20" s="6" t="s">
        <v>20</v>
      </c>
      <c r="R20" s="7">
        <v>181100</v>
      </c>
      <c r="U20" t="str">
        <f>Q20</f>
        <v>New</v>
      </c>
      <c r="V20" s="7">
        <f>R20</f>
        <v>181100</v>
      </c>
    </row>
    <row r="21" spans="1:22" x14ac:dyDescent="0.25">
      <c r="C21" t="str">
        <f>C14</f>
        <v>CT Scanner</v>
      </c>
      <c r="D21" s="7">
        <f>D14</f>
        <v>41000</v>
      </c>
      <c r="G21" s="6" t="s">
        <v>89</v>
      </c>
      <c r="H21" s="1">
        <v>2</v>
      </c>
      <c r="I21" s="1"/>
      <c r="J21" s="1"/>
      <c r="K21" s="1"/>
      <c r="L21" s="1">
        <v>2</v>
      </c>
      <c r="Q21" s="6" t="s">
        <v>40</v>
      </c>
      <c r="R21" s="7">
        <v>36400</v>
      </c>
      <c r="U21" t="str">
        <f>Q21</f>
        <v>Refurbished</v>
      </c>
      <c r="V21" s="7">
        <f>R21</f>
        <v>36400</v>
      </c>
    </row>
    <row r="22" spans="1:22" x14ac:dyDescent="0.25">
      <c r="C22" t="str">
        <f>C15</f>
        <v>Anesthesia Machine</v>
      </c>
      <c r="D22" s="7">
        <f>D15</f>
        <v>40000</v>
      </c>
      <c r="G22" s="6" t="s">
        <v>55</v>
      </c>
      <c r="H22" s="1">
        <v>4</v>
      </c>
      <c r="I22" s="1">
        <v>2</v>
      </c>
      <c r="J22" s="1"/>
      <c r="K22" s="1"/>
      <c r="L22" s="1">
        <v>6</v>
      </c>
      <c r="Q22" s="6" t="s">
        <v>133</v>
      </c>
      <c r="R22" s="7">
        <v>3800</v>
      </c>
      <c r="U22" t="str">
        <f>Q22</f>
        <v>Used - Fair</v>
      </c>
      <c r="V22" s="7">
        <f>R22</f>
        <v>3800</v>
      </c>
    </row>
    <row r="23" spans="1:22" x14ac:dyDescent="0.25">
      <c r="A23" t="s">
        <v>306</v>
      </c>
      <c r="C23" t="str">
        <f>C16</f>
        <v>Ventilator</v>
      </c>
      <c r="D23" s="7">
        <f>D16</f>
        <v>33000</v>
      </c>
      <c r="G23" s="6" t="s">
        <v>153</v>
      </c>
      <c r="H23" s="1">
        <v>3</v>
      </c>
      <c r="I23" s="1">
        <v>1</v>
      </c>
      <c r="J23" s="1"/>
      <c r="K23" s="1"/>
      <c r="L23" s="1">
        <v>4</v>
      </c>
      <c r="Q23" s="6" t="s">
        <v>33</v>
      </c>
      <c r="R23" s="7">
        <v>54400</v>
      </c>
      <c r="U23" t="str">
        <f>Q23</f>
        <v>Used - Good</v>
      </c>
      <c r="V23" s="7">
        <f>R23</f>
        <v>54400</v>
      </c>
    </row>
    <row r="24" spans="1:22" x14ac:dyDescent="0.25">
      <c r="A24" s="7">
        <v>275700</v>
      </c>
      <c r="C24" t="str">
        <f>C17</f>
        <v>Operating Table</v>
      </c>
      <c r="D24" s="7">
        <f>D17</f>
        <v>32600</v>
      </c>
      <c r="G24" s="6" t="s">
        <v>43</v>
      </c>
      <c r="H24" s="1">
        <v>1</v>
      </c>
      <c r="I24" s="1"/>
      <c r="J24" s="1">
        <v>2</v>
      </c>
      <c r="K24" s="1"/>
      <c r="L24" s="1">
        <v>3</v>
      </c>
      <c r="Q24" s="6" t="s">
        <v>309</v>
      </c>
      <c r="R24" s="7">
        <v>275700</v>
      </c>
    </row>
    <row r="25" spans="1:22" x14ac:dyDescent="0.25">
      <c r="A25">
        <v>1</v>
      </c>
      <c r="G25" s="6" t="s">
        <v>49</v>
      </c>
      <c r="H25" s="1">
        <v>3</v>
      </c>
      <c r="I25" s="1"/>
      <c r="J25" s="1"/>
      <c r="K25" s="1">
        <v>4</v>
      </c>
      <c r="L25" s="1">
        <v>7</v>
      </c>
    </row>
    <row r="26" spans="1:22" x14ac:dyDescent="0.25">
      <c r="A26" t="s">
        <v>312</v>
      </c>
      <c r="G26" s="6" t="s">
        <v>95</v>
      </c>
      <c r="H26" s="1">
        <v>1</v>
      </c>
      <c r="I26" s="1"/>
      <c r="J26" s="1"/>
      <c r="K26" s="1"/>
      <c r="L26" s="1">
        <v>1</v>
      </c>
    </row>
    <row r="27" spans="1:22" x14ac:dyDescent="0.25">
      <c r="A27" s="5" t="s">
        <v>308</v>
      </c>
      <c r="B27" t="s">
        <v>302</v>
      </c>
      <c r="G27" s="6" t="s">
        <v>61</v>
      </c>
      <c r="H27" s="1">
        <v>3</v>
      </c>
      <c r="I27" s="1">
        <v>2</v>
      </c>
      <c r="J27" s="1">
        <v>1</v>
      </c>
      <c r="K27" s="1"/>
      <c r="L27" s="1">
        <v>6</v>
      </c>
      <c r="Q27" s="6" t="s">
        <v>321</v>
      </c>
      <c r="R27" t="s">
        <v>322</v>
      </c>
    </row>
    <row r="28" spans="1:22" x14ac:dyDescent="0.25">
      <c r="A28" s="6" t="s">
        <v>244</v>
      </c>
      <c r="B28" s="7">
        <v>1815000</v>
      </c>
      <c r="G28" s="6" t="s">
        <v>36</v>
      </c>
      <c r="H28" s="1"/>
      <c r="I28" s="1">
        <v>5</v>
      </c>
      <c r="J28" s="1"/>
      <c r="K28" s="1">
        <v>159</v>
      </c>
      <c r="L28" s="1">
        <v>164</v>
      </c>
      <c r="Q28" s="5" t="s">
        <v>308</v>
      </c>
      <c r="R28" t="s">
        <v>302</v>
      </c>
    </row>
    <row r="29" spans="1:22" x14ac:dyDescent="0.25">
      <c r="A29" s="6" t="s">
        <v>247</v>
      </c>
      <c r="B29" s="7">
        <v>1434000</v>
      </c>
      <c r="G29" s="6" t="s">
        <v>107</v>
      </c>
      <c r="H29" s="1"/>
      <c r="I29" s="1">
        <v>1</v>
      </c>
      <c r="J29" s="1">
        <v>6</v>
      </c>
      <c r="K29" s="1"/>
      <c r="L29" s="1">
        <v>7</v>
      </c>
      <c r="Q29" s="6" t="s">
        <v>149</v>
      </c>
      <c r="R29" s="7">
        <v>4680000</v>
      </c>
      <c r="U29" t="str">
        <f>Q29</f>
        <v>CT Scanner</v>
      </c>
      <c r="V29" s="10">
        <f>R29</f>
        <v>4680000</v>
      </c>
    </row>
    <row r="30" spans="1:22" x14ac:dyDescent="0.25">
      <c r="A30" s="6" t="s">
        <v>283</v>
      </c>
      <c r="B30" s="7">
        <v>1335000</v>
      </c>
      <c r="G30" s="6" t="s">
        <v>124</v>
      </c>
      <c r="H30" s="1">
        <v>2</v>
      </c>
      <c r="I30" s="1"/>
      <c r="J30" s="1"/>
      <c r="K30" s="1">
        <v>7</v>
      </c>
      <c r="L30" s="1">
        <v>9</v>
      </c>
      <c r="Q30" s="6" t="s">
        <v>62</v>
      </c>
      <c r="R30" s="7">
        <v>1405000</v>
      </c>
      <c r="U30" t="str">
        <f>Q30</f>
        <v>X-ray Machine</v>
      </c>
      <c r="V30" s="10">
        <f>R30</f>
        <v>1405000</v>
      </c>
    </row>
    <row r="31" spans="1:22" x14ac:dyDescent="0.25">
      <c r="A31" s="6" t="s">
        <v>278</v>
      </c>
      <c r="B31" s="7">
        <v>1274000</v>
      </c>
      <c r="G31" s="6" t="s">
        <v>23</v>
      </c>
      <c r="H31" s="1">
        <v>94</v>
      </c>
      <c r="I31" s="1">
        <v>45</v>
      </c>
      <c r="J31" s="1"/>
      <c r="K31" s="1">
        <v>1</v>
      </c>
      <c r="L31" s="1">
        <v>140</v>
      </c>
      <c r="Q31" s="6" t="s">
        <v>79</v>
      </c>
      <c r="R31" s="7">
        <v>735000</v>
      </c>
      <c r="U31" t="str">
        <f>Q31</f>
        <v>Defibrillator</v>
      </c>
      <c r="V31" s="10">
        <f>R31</f>
        <v>735000</v>
      </c>
    </row>
    <row r="32" spans="1:22" x14ac:dyDescent="0.25">
      <c r="A32" s="6" t="s">
        <v>271</v>
      </c>
      <c r="B32" s="7">
        <v>1230000</v>
      </c>
      <c r="G32" s="6" t="s">
        <v>128</v>
      </c>
      <c r="H32" s="1"/>
      <c r="I32" s="1">
        <v>1</v>
      </c>
      <c r="J32" s="1"/>
      <c r="K32" s="1"/>
      <c r="L32" s="1">
        <v>1</v>
      </c>
      <c r="Q32" s="6" t="s">
        <v>138</v>
      </c>
      <c r="R32" s="7">
        <v>488000</v>
      </c>
      <c r="U32" t="str">
        <f>Q32</f>
        <v>Infant Incubator</v>
      </c>
      <c r="V32" s="10">
        <f>R32</f>
        <v>488000</v>
      </c>
    </row>
    <row r="33" spans="1:22" x14ac:dyDescent="0.25">
      <c r="A33" s="6" t="s">
        <v>309</v>
      </c>
      <c r="B33" s="7">
        <v>7088000</v>
      </c>
      <c r="G33" s="6" t="s">
        <v>29</v>
      </c>
      <c r="H33" s="1">
        <v>52</v>
      </c>
      <c r="I33" s="1">
        <v>4</v>
      </c>
      <c r="J33" s="1"/>
      <c r="K33" s="1">
        <v>48</v>
      </c>
      <c r="L33" s="1">
        <v>104</v>
      </c>
      <c r="Q33" s="6" t="s">
        <v>187</v>
      </c>
      <c r="R33" s="7">
        <v>255000</v>
      </c>
      <c r="U33" t="str">
        <f>Q33</f>
        <v>Phototherapy Unit</v>
      </c>
      <c r="V33" s="10">
        <f>R33</f>
        <v>255000</v>
      </c>
    </row>
    <row r="34" spans="1:22" x14ac:dyDescent="0.25">
      <c r="G34" s="6" t="s">
        <v>67</v>
      </c>
      <c r="H34" s="1">
        <v>1</v>
      </c>
      <c r="I34" s="1">
        <v>2</v>
      </c>
      <c r="J34" s="1"/>
      <c r="K34" s="1"/>
      <c r="L34" s="1">
        <v>3</v>
      </c>
      <c r="Q34" s="6" t="s">
        <v>309</v>
      </c>
      <c r="R34" s="4">
        <v>7563000</v>
      </c>
    </row>
    <row r="35" spans="1:22" x14ac:dyDescent="0.25">
      <c r="B35" s="7"/>
      <c r="G35" s="6" t="s">
        <v>309</v>
      </c>
      <c r="H35" s="1">
        <v>295</v>
      </c>
      <c r="I35" s="1">
        <v>77</v>
      </c>
      <c r="J35" s="1">
        <v>18</v>
      </c>
      <c r="K35" s="1">
        <v>222</v>
      </c>
      <c r="L35" s="1">
        <v>612</v>
      </c>
      <c r="Q35" s="6" t="s">
        <v>323</v>
      </c>
      <c r="R35" t="s">
        <v>324</v>
      </c>
    </row>
    <row r="36" spans="1:22" x14ac:dyDescent="0.25">
      <c r="B36" s="7"/>
      <c r="Q36" s="5" t="s">
        <v>308</v>
      </c>
      <c r="R36" t="s">
        <v>311</v>
      </c>
    </row>
    <row r="37" spans="1:22" x14ac:dyDescent="0.25">
      <c r="B37" s="7"/>
      <c r="E37" t="str">
        <f>I13</f>
        <v>Refurbished</v>
      </c>
      <c r="F37" t="str">
        <f>J13</f>
        <v>Used - Fair</v>
      </c>
      <c r="H37" t="s">
        <v>313</v>
      </c>
      <c r="Q37" s="6" t="s">
        <v>79</v>
      </c>
      <c r="R37" s="4">
        <v>75</v>
      </c>
    </row>
    <row r="38" spans="1:22" x14ac:dyDescent="0.25">
      <c r="B38" s="7"/>
      <c r="E38">
        <f>I14</f>
        <v>2</v>
      </c>
      <c r="F38">
        <f>J14</f>
        <v>2</v>
      </c>
      <c r="H38" t="str">
        <f>G13</f>
        <v>Row Labels</v>
      </c>
      <c r="I38" t="str">
        <f>H13</f>
        <v>New</v>
      </c>
      <c r="Q38" s="6" t="s">
        <v>138</v>
      </c>
      <c r="R38" s="4">
        <v>61</v>
      </c>
    </row>
    <row r="39" spans="1:22" x14ac:dyDescent="0.25">
      <c r="B39" s="7"/>
      <c r="E39">
        <f>I15</f>
        <v>1</v>
      </c>
      <c r="F39">
        <f>J15</f>
        <v>0</v>
      </c>
      <c r="H39" t="str">
        <f>G14</f>
        <v>Cardiology</v>
      </c>
      <c r="I39">
        <f>H14</f>
        <v>4</v>
      </c>
      <c r="Q39" s="6" t="s">
        <v>149</v>
      </c>
      <c r="R39" s="4">
        <v>57</v>
      </c>
    </row>
    <row r="40" spans="1:22" x14ac:dyDescent="0.25">
      <c r="E40">
        <f>E7</f>
        <v>0</v>
      </c>
      <c r="F40">
        <f>F7</f>
        <v>0</v>
      </c>
      <c r="H40" t="str">
        <f>G15</f>
        <v>Dermatology</v>
      </c>
      <c r="I40">
        <f>H15</f>
        <v>1</v>
      </c>
      <c r="Q40" s="6" t="s">
        <v>187</v>
      </c>
      <c r="R40" s="4">
        <v>51</v>
      </c>
    </row>
    <row r="41" spans="1:22" x14ac:dyDescent="0.25">
      <c r="A41">
        <v>2</v>
      </c>
      <c r="E41">
        <f>E8</f>
        <v>0</v>
      </c>
      <c r="F41">
        <f>F8</f>
        <v>0</v>
      </c>
      <c r="H41" t="str">
        <f>C7</f>
        <v>Operating Table</v>
      </c>
      <c r="I41">
        <f>D7</f>
        <v>32600</v>
      </c>
      <c r="Q41" s="6" t="s">
        <v>62</v>
      </c>
      <c r="R41" s="4">
        <v>47</v>
      </c>
    </row>
    <row r="42" spans="1:22" x14ac:dyDescent="0.25">
      <c r="A42" t="s">
        <v>318</v>
      </c>
      <c r="E42">
        <f>E9</f>
        <v>0</v>
      </c>
      <c r="F42">
        <f>F9</f>
        <v>0</v>
      </c>
      <c r="H42" t="str">
        <f>C8</f>
        <v>Grand Total</v>
      </c>
      <c r="I42">
        <f>D8</f>
        <v>203600</v>
      </c>
      <c r="Q42" s="6" t="s">
        <v>309</v>
      </c>
      <c r="R42" s="4">
        <v>291</v>
      </c>
    </row>
    <row r="43" spans="1:22" x14ac:dyDescent="0.25">
      <c r="A43" s="5" t="s">
        <v>308</v>
      </c>
      <c r="B43" t="s">
        <v>317</v>
      </c>
      <c r="H43">
        <f>C9</f>
        <v>0</v>
      </c>
      <c r="I43">
        <f>D9</f>
        <v>0</v>
      </c>
    </row>
    <row r="44" spans="1:22" x14ac:dyDescent="0.25">
      <c r="A44" s="6" t="s">
        <v>140</v>
      </c>
      <c r="B44" s="4">
        <v>62</v>
      </c>
    </row>
    <row r="45" spans="1:22" x14ac:dyDescent="0.25">
      <c r="A45" s="6" t="s">
        <v>19</v>
      </c>
      <c r="B45" s="4">
        <v>44</v>
      </c>
      <c r="H45" t="s">
        <v>316</v>
      </c>
    </row>
    <row r="46" spans="1:22" x14ac:dyDescent="0.25">
      <c r="A46" s="6" t="s">
        <v>32</v>
      </c>
      <c r="B46" s="4">
        <v>42</v>
      </c>
      <c r="H46" s="5" t="s">
        <v>308</v>
      </c>
      <c r="I46" t="s">
        <v>305</v>
      </c>
    </row>
    <row r="47" spans="1:22" x14ac:dyDescent="0.25">
      <c r="A47" s="6" t="s">
        <v>64</v>
      </c>
      <c r="B47" s="4">
        <v>27</v>
      </c>
      <c r="H47" s="6" t="s">
        <v>177</v>
      </c>
      <c r="I47" s="7">
        <v>800</v>
      </c>
      <c r="L47" t="str">
        <f>H47</f>
        <v>Rhinolaryngoscope</v>
      </c>
      <c r="M47" s="7">
        <f>I47</f>
        <v>800</v>
      </c>
    </row>
    <row r="48" spans="1:22" x14ac:dyDescent="0.25">
      <c r="A48" s="6" t="s">
        <v>39</v>
      </c>
      <c r="B48" s="4">
        <v>24</v>
      </c>
      <c r="H48" s="6" t="s">
        <v>158</v>
      </c>
      <c r="I48" s="7">
        <v>800</v>
      </c>
      <c r="L48" t="str">
        <f>H48</f>
        <v>Fetal Monitor</v>
      </c>
      <c r="M48" s="7">
        <f>I48</f>
        <v>800</v>
      </c>
    </row>
    <row r="49" spans="1:13" x14ac:dyDescent="0.25">
      <c r="A49" s="6" t="s">
        <v>309</v>
      </c>
      <c r="B49" s="4">
        <v>199</v>
      </c>
      <c r="H49" s="6" t="s">
        <v>197</v>
      </c>
      <c r="I49" s="7">
        <v>800</v>
      </c>
      <c r="L49" t="str">
        <f>H49</f>
        <v>Psychiatric Bed</v>
      </c>
      <c r="M49" s="7">
        <f>I49</f>
        <v>800</v>
      </c>
    </row>
    <row r="50" spans="1:13" x14ac:dyDescent="0.25">
      <c r="H50" s="6" t="s">
        <v>218</v>
      </c>
      <c r="I50" s="7">
        <v>800</v>
      </c>
      <c r="L50" t="str">
        <f>H50</f>
        <v>Psychiatric Ward</v>
      </c>
      <c r="M50" s="7">
        <f>I50</f>
        <v>800</v>
      </c>
    </row>
    <row r="51" spans="1:13" x14ac:dyDescent="0.25">
      <c r="H51" s="6" t="s">
        <v>30</v>
      </c>
      <c r="I51" s="7">
        <v>500</v>
      </c>
      <c r="L51" t="str">
        <f>H51</f>
        <v>Surgical Tools</v>
      </c>
      <c r="M51" s="7">
        <f>I51</f>
        <v>500</v>
      </c>
    </row>
    <row r="52" spans="1:13" x14ac:dyDescent="0.25">
      <c r="H52" s="6" t="s">
        <v>309</v>
      </c>
      <c r="I52" s="7">
        <v>3700</v>
      </c>
    </row>
    <row r="57" spans="1:13" x14ac:dyDescent="0.25">
      <c r="A57">
        <v>3</v>
      </c>
    </row>
    <row r="58" spans="1:13" x14ac:dyDescent="0.25">
      <c r="A58" s="5" t="s">
        <v>308</v>
      </c>
      <c r="B58" t="s">
        <v>306</v>
      </c>
      <c r="J58">
        <v>4</v>
      </c>
    </row>
    <row r="59" spans="1:13" x14ac:dyDescent="0.25">
      <c r="A59" s="6" t="s">
        <v>106</v>
      </c>
      <c r="B59" s="7">
        <v>26400</v>
      </c>
      <c r="F59" t="str">
        <f>A59</f>
        <v>Osun</v>
      </c>
      <c r="G59" s="7">
        <f>B59</f>
        <v>26400</v>
      </c>
      <c r="J59" s="6" t="s">
        <v>315</v>
      </c>
    </row>
    <row r="60" spans="1:13" x14ac:dyDescent="0.25">
      <c r="A60" s="6" t="s">
        <v>100</v>
      </c>
      <c r="B60" s="7">
        <v>22800</v>
      </c>
      <c r="F60" t="str">
        <f>A60</f>
        <v>Ogun</v>
      </c>
      <c r="G60" s="7">
        <f>B60</f>
        <v>22800</v>
      </c>
      <c r="J60" s="5" t="s">
        <v>308</v>
      </c>
      <c r="K60" t="s">
        <v>304</v>
      </c>
    </row>
    <row r="61" spans="1:13" x14ac:dyDescent="0.25">
      <c r="A61" s="6" t="s">
        <v>48</v>
      </c>
      <c r="B61" s="7">
        <v>16000</v>
      </c>
      <c r="F61" t="str">
        <f>A61</f>
        <v>Kaduna</v>
      </c>
      <c r="G61" s="7">
        <f>B61</f>
        <v>16000</v>
      </c>
      <c r="J61" s="6" t="s">
        <v>97</v>
      </c>
      <c r="K61" s="4">
        <v>23</v>
      </c>
    </row>
    <row r="62" spans="1:13" x14ac:dyDescent="0.25">
      <c r="A62" s="6" t="s">
        <v>123</v>
      </c>
      <c r="B62" s="7">
        <v>12800</v>
      </c>
      <c r="F62" t="str">
        <f>A62</f>
        <v>Kogi</v>
      </c>
      <c r="G62" s="7">
        <f>B62</f>
        <v>12800</v>
      </c>
      <c r="J62" s="6" t="s">
        <v>103</v>
      </c>
      <c r="K62" s="4">
        <v>23</v>
      </c>
    </row>
    <row r="63" spans="1:13" x14ac:dyDescent="0.25">
      <c r="A63" s="6" t="s">
        <v>248</v>
      </c>
      <c r="B63" s="7">
        <v>12700</v>
      </c>
      <c r="F63" t="str">
        <f>A63</f>
        <v>Bayelsa</v>
      </c>
      <c r="G63" s="7">
        <f>B63</f>
        <v>12700</v>
      </c>
      <c r="J63" s="6" t="s">
        <v>195</v>
      </c>
      <c r="K63" s="4">
        <v>23</v>
      </c>
    </row>
    <row r="64" spans="1:13" x14ac:dyDescent="0.25">
      <c r="A64" s="6" t="s">
        <v>280</v>
      </c>
      <c r="B64" s="7">
        <v>11800</v>
      </c>
      <c r="F64" t="str">
        <f>A64</f>
        <v>Nasarawa</v>
      </c>
      <c r="G64" s="7">
        <f>B64</f>
        <v>11800</v>
      </c>
      <c r="J64" s="6" t="s">
        <v>178</v>
      </c>
      <c r="K64" s="4">
        <v>23</v>
      </c>
    </row>
    <row r="65" spans="1:11" x14ac:dyDescent="0.25">
      <c r="A65" s="6" t="s">
        <v>66</v>
      </c>
      <c r="B65" s="7">
        <v>11700</v>
      </c>
      <c r="F65" t="str">
        <f>A65</f>
        <v>Imo</v>
      </c>
      <c r="G65" s="7">
        <f>B65</f>
        <v>11700</v>
      </c>
      <c r="J65" s="6" t="s">
        <v>150</v>
      </c>
      <c r="K65" s="4">
        <v>23</v>
      </c>
    </row>
    <row r="66" spans="1:11" x14ac:dyDescent="0.25">
      <c r="A66" s="6" t="s">
        <v>60</v>
      </c>
      <c r="B66" s="7">
        <v>10500</v>
      </c>
      <c r="F66" t="str">
        <f>A66</f>
        <v>Edo</v>
      </c>
      <c r="G66" s="7">
        <f>B66</f>
        <v>10500</v>
      </c>
      <c r="J66" s="6" t="s">
        <v>309</v>
      </c>
      <c r="K66" s="4">
        <v>23</v>
      </c>
    </row>
    <row r="67" spans="1:11" x14ac:dyDescent="0.25">
      <c r="A67" s="6" t="s">
        <v>245</v>
      </c>
      <c r="B67" s="7">
        <v>9700</v>
      </c>
      <c r="F67" t="str">
        <f>A67</f>
        <v>Niger</v>
      </c>
      <c r="G67" s="7">
        <f>B67</f>
        <v>9700</v>
      </c>
    </row>
    <row r="68" spans="1:11" x14ac:dyDescent="0.25">
      <c r="A68" s="6" t="s">
        <v>22</v>
      </c>
      <c r="B68" s="7">
        <v>9400</v>
      </c>
      <c r="F68" t="str">
        <f>A68</f>
        <v>Abuja</v>
      </c>
      <c r="G68" s="7">
        <f>B68</f>
        <v>9400</v>
      </c>
      <c r="J68" t="str">
        <f>J61</f>
        <v>EyeTech</v>
      </c>
      <c r="K68">
        <f>K61</f>
        <v>23</v>
      </c>
    </row>
    <row r="69" spans="1:11" x14ac:dyDescent="0.25">
      <c r="A69" s="6" t="s">
        <v>309</v>
      </c>
      <c r="B69" s="7">
        <v>143800</v>
      </c>
      <c r="J69" t="str">
        <f>J62</f>
        <v>DermiCare</v>
      </c>
      <c r="K69">
        <f>K62</f>
        <v>23</v>
      </c>
    </row>
    <row r="70" spans="1:11" x14ac:dyDescent="0.25">
      <c r="J70" t="str">
        <f>J63</f>
        <v>MammoTech</v>
      </c>
      <c r="K70">
        <f>K63</f>
        <v>23</v>
      </c>
    </row>
    <row r="71" spans="1:11" x14ac:dyDescent="0.25">
      <c r="J71" t="str">
        <f>J64</f>
        <v>ENT Solutions</v>
      </c>
      <c r="K71">
        <f>K64</f>
        <v>23</v>
      </c>
    </row>
    <row r="72" spans="1:11" x14ac:dyDescent="0.25">
      <c r="J72" t="str">
        <f>J65</f>
        <v>RadiantTech</v>
      </c>
      <c r="K72">
        <f>K65</f>
        <v>23</v>
      </c>
    </row>
    <row r="73" spans="1:11" x14ac:dyDescent="0.25">
      <c r="A73" t="str">
        <f>A44</f>
        <v>Australia</v>
      </c>
      <c r="B73">
        <f>B44</f>
        <v>62</v>
      </c>
    </row>
    <row r="74" spans="1:11" x14ac:dyDescent="0.25">
      <c r="A74" t="str">
        <f>A45</f>
        <v>USA</v>
      </c>
      <c r="B74">
        <f>B45</f>
        <v>44</v>
      </c>
    </row>
    <row r="75" spans="1:11" x14ac:dyDescent="0.25">
      <c r="A75" t="str">
        <f>A46</f>
        <v>UAE</v>
      </c>
      <c r="B75">
        <f>B46</f>
        <v>42</v>
      </c>
    </row>
    <row r="76" spans="1:11" x14ac:dyDescent="0.25">
      <c r="A76" t="str">
        <f>A47</f>
        <v>France</v>
      </c>
      <c r="B76">
        <f>B47</f>
        <v>27</v>
      </c>
    </row>
    <row r="77" spans="1:11" x14ac:dyDescent="0.25">
      <c r="A77" t="str">
        <f>A48</f>
        <v>China</v>
      </c>
      <c r="B77">
        <f>B48</f>
        <v>24</v>
      </c>
    </row>
    <row r="83" spans="1:5" x14ac:dyDescent="0.25">
      <c r="A83" s="5" t="s">
        <v>308</v>
      </c>
      <c r="B83" t="s">
        <v>302</v>
      </c>
    </row>
    <row r="84" spans="1:5" x14ac:dyDescent="0.25">
      <c r="A84" s="6" t="s">
        <v>244</v>
      </c>
      <c r="B84" s="7">
        <v>1815000</v>
      </c>
      <c r="D84" t="str">
        <f>A84</f>
        <v>Minna Federal Medical Center</v>
      </c>
      <c r="E84" s="23">
        <f>B84</f>
        <v>1815000</v>
      </c>
    </row>
    <row r="85" spans="1:5" x14ac:dyDescent="0.25">
      <c r="A85" s="6" t="s">
        <v>247</v>
      </c>
      <c r="B85" s="7">
        <v>1434000</v>
      </c>
      <c r="D85" t="str">
        <f t="shared" ref="D85:D88" si="0">A85</f>
        <v>Yenagoa Medical Center</v>
      </c>
      <c r="E85" s="23">
        <f t="shared" ref="E85:E88" si="1">B85</f>
        <v>1434000</v>
      </c>
    </row>
    <row r="86" spans="1:5" x14ac:dyDescent="0.25">
      <c r="A86" s="6" t="s">
        <v>283</v>
      </c>
      <c r="B86" s="7">
        <v>1335000</v>
      </c>
      <c r="D86" t="str">
        <f t="shared" si="0"/>
        <v>Dutse General Hospital</v>
      </c>
      <c r="E86" s="23">
        <f t="shared" si="1"/>
        <v>1335000</v>
      </c>
    </row>
    <row r="87" spans="1:5" x14ac:dyDescent="0.25">
      <c r="A87" s="6" t="s">
        <v>278</v>
      </c>
      <c r="B87" s="7">
        <v>1274000</v>
      </c>
      <c r="D87" t="str">
        <f t="shared" si="0"/>
        <v>Benin City General Hospital</v>
      </c>
      <c r="E87" s="23">
        <f t="shared" si="1"/>
        <v>1274000</v>
      </c>
    </row>
    <row r="88" spans="1:5" x14ac:dyDescent="0.25">
      <c r="A88" s="6" t="s">
        <v>271</v>
      </c>
      <c r="B88" s="7">
        <v>1230000</v>
      </c>
      <c r="D88" t="str">
        <f t="shared" si="0"/>
        <v>Gusau General Hospital</v>
      </c>
      <c r="E88" s="23">
        <f t="shared" si="1"/>
        <v>1230000</v>
      </c>
    </row>
    <row r="89" spans="1:5" x14ac:dyDescent="0.25">
      <c r="A89" s="6" t="s">
        <v>309</v>
      </c>
      <c r="B89" s="7">
        <v>7088000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D56D-B268-442D-A689-10AA5379F29C}">
  <sheetPr>
    <tabColor rgb="FF002060"/>
  </sheetPr>
  <dimension ref="A6:AD15"/>
  <sheetViews>
    <sheetView showGridLines="0" workbookViewId="0">
      <selection activeCell="G41" sqref="G41"/>
    </sheetView>
  </sheetViews>
  <sheetFormatPr defaultColWidth="0" defaultRowHeight="15" x14ac:dyDescent="0.25"/>
  <cols>
    <col min="1" max="30" width="9.140625" style="8" customWidth="1"/>
    <col min="31" max="16384" width="9.140625" hidden="1"/>
  </cols>
  <sheetData>
    <row r="6" spans="2:23" ht="18.75" x14ac:dyDescent="0.3">
      <c r="B6" s="11">
        <f>GETPIVOTDATA("[Measures].[Total Equipment Procured]",'pivot analyser'!$A$3)</f>
        <v>612</v>
      </c>
      <c r="C6" s="11"/>
      <c r="F6" s="22">
        <f>GETPIVOTDATA("[Measures].[Total Procurement Cost]",'pivot analyser'!$A$7)</f>
        <v>20910500</v>
      </c>
      <c r="G6" s="22"/>
      <c r="H6" s="22"/>
      <c r="J6" s="22">
        <f>GETPIVOTDATA("[Measures].[Average Unit Price]",'pivot analyser'!$A$11)</f>
        <v>37405</v>
      </c>
      <c r="K6" s="22"/>
      <c r="N6" s="12">
        <f>GETPIVOTDATA("[Measures].[Average Delivery Time]",'pivot analyser'!$A$15)</f>
        <v>25.296153846153846</v>
      </c>
      <c r="O6" s="12" t="s">
        <v>325</v>
      </c>
      <c r="Q6" s="22">
        <f>GETPIVOTDATA("[Measures].[Total maintence cost per year]",'pivot analyser'!$A$19)</f>
        <v>462600</v>
      </c>
      <c r="R6" s="22"/>
      <c r="S6" s="22"/>
      <c r="V6" s="22">
        <f>GETPIVOTDATA("[Measures].[Total Installation Cost]",'pivot analyser'!$A$23)</f>
        <v>275700</v>
      </c>
      <c r="W6" s="22"/>
    </row>
    <row r="7" spans="2:23" x14ac:dyDescent="0.25">
      <c r="E7" s="9"/>
    </row>
    <row r="15" spans="2:23" x14ac:dyDescent="0.25">
      <c r="C15" s="8">
        <f>GETPIVOTDATA("[Measures].[Total Equipment Procured]",'pivot analyser'!$A$3)</f>
        <v>612</v>
      </c>
    </row>
  </sheetData>
  <mergeCells count="5">
    <mergeCell ref="V6:W6"/>
    <mergeCell ref="B6:C6"/>
    <mergeCell ref="F6:H6"/>
    <mergeCell ref="J6:K6"/>
    <mergeCell ref="Q6: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0DDB-1022-4F79-869C-6F7B2E895EE5}">
  <sheetPr>
    <tabColor theme="5" tint="-0.249977111117893"/>
  </sheetPr>
  <dimension ref="A1"/>
  <sheetViews>
    <sheetView showGridLines="0" tabSelected="1" workbookViewId="0">
      <selection activeCell="F32" sqref="F3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0F14EB86-2D25-46C9-9DD7-094423F39A57}">
  <ds:schemaRefs/>
</ds:datastoreItem>
</file>

<file path=customXml/itemProps2.xml><?xml version="1.0" encoding="utf-8"?>
<ds:datastoreItem xmlns:ds="http://schemas.openxmlformats.org/officeDocument/2006/customXml" ds:itemID="{CE9738D7-6A3A-4759-9E7F-77AFFEA5E904}">
  <ds:schemaRefs/>
</ds:datastoreItem>
</file>

<file path=customXml/itemProps3.xml><?xml version="1.0" encoding="utf-8"?>
<ds:datastoreItem xmlns:ds="http://schemas.openxmlformats.org/officeDocument/2006/customXml" ds:itemID="{B66E54FF-D698-47FD-9F2F-5FD49ABB6129}">
  <ds:schemaRefs/>
</ds:datastoreItem>
</file>

<file path=customXml/itemProps4.xml><?xml version="1.0" encoding="utf-8"?>
<ds:datastoreItem xmlns:ds="http://schemas.openxmlformats.org/officeDocument/2006/customXml" ds:itemID="{C5223710-EFD4-4713-AEC3-CB2085253457}">
  <ds:schemaRefs/>
</ds:datastoreItem>
</file>

<file path=customXml/itemProps5.xml><?xml version="1.0" encoding="utf-8"?>
<ds:datastoreItem xmlns:ds="http://schemas.openxmlformats.org/officeDocument/2006/customXml" ds:itemID="{264E1BB1-425D-473D-9095-E0582519460F}">
  <ds:schemaRefs/>
</ds:datastoreItem>
</file>

<file path=customXml/itemProps6.xml><?xml version="1.0" encoding="utf-8"?>
<ds:datastoreItem xmlns:ds="http://schemas.openxmlformats.org/officeDocument/2006/customXml" ds:itemID="{A8E8B1DF-F645-4159-B16A-5CB14FEB68A8}">
  <ds:schemaRefs/>
</ds:datastoreItem>
</file>

<file path=customXml/itemProps7.xml><?xml version="1.0" encoding="utf-8"?>
<ds:datastoreItem xmlns:ds="http://schemas.openxmlformats.org/officeDocument/2006/customXml" ds:itemID="{48C31B15-BCA1-478A-A859-24C1D3E70844}">
  <ds:schemaRefs/>
</ds:datastoreItem>
</file>

<file path=customXml/itemProps8.xml><?xml version="1.0" encoding="utf-8"?>
<ds:datastoreItem xmlns:ds="http://schemas.openxmlformats.org/officeDocument/2006/customXml" ds:itemID="{59AF435D-798F-4B17-B871-CF5327D4F787}">
  <ds:schemaRefs/>
</ds:datastoreItem>
</file>

<file path=customXml/itemProps9.xml><?xml version="1.0" encoding="utf-8"?>
<ds:datastoreItem xmlns:ds="http://schemas.openxmlformats.org/officeDocument/2006/customXml" ds:itemID="{1D52873F-756D-4F4E-B3EC-FBB8902BA9B0}">
  <ds:schemaRefs/>
</ds:datastoreItem>
</file>

<file path=customXml/itemProps10.xml><?xml version="1.0" encoding="utf-8"?>
<ds:datastoreItem xmlns:ds="http://schemas.openxmlformats.org/officeDocument/2006/customXml" ds:itemID="{7A87F276-ABA1-4C70-8932-B8286D55958C}">
  <ds:schemaRefs/>
</ds:datastoreItem>
</file>

<file path=customXml/itemProps11.xml><?xml version="1.0" encoding="utf-8"?>
<ds:datastoreItem xmlns:ds="http://schemas.openxmlformats.org/officeDocument/2006/customXml" ds:itemID="{068FC22B-0C17-4C72-A0B7-64216C8B9EC0}">
  <ds:schemaRefs>
    <ds:schemaRef ds:uri="http://schemas.microsoft.com/DataMashup"/>
  </ds:schemaRefs>
</ds:datastoreItem>
</file>

<file path=customXml/itemProps12.xml><?xml version="1.0" encoding="utf-8"?>
<ds:datastoreItem xmlns:ds="http://schemas.openxmlformats.org/officeDocument/2006/customXml" ds:itemID="{C7C09B08-147D-4668-BF87-71811CA8A47C}">
  <ds:schemaRefs/>
</ds:datastoreItem>
</file>

<file path=customXml/itemProps13.xml><?xml version="1.0" encoding="utf-8"?>
<ds:datastoreItem xmlns:ds="http://schemas.openxmlformats.org/officeDocument/2006/customXml" ds:itemID="{384DCA0F-FC7E-464A-B970-97B2C4981EC3}">
  <ds:schemaRefs/>
</ds:datastoreItem>
</file>

<file path=customXml/itemProps14.xml><?xml version="1.0" encoding="utf-8"?>
<ds:datastoreItem xmlns:ds="http://schemas.openxmlformats.org/officeDocument/2006/customXml" ds:itemID="{4ADB60CF-CEC3-4960-BED2-FE228D2E865C}">
  <ds:schemaRefs/>
</ds:datastoreItem>
</file>

<file path=customXml/itemProps15.xml><?xml version="1.0" encoding="utf-8"?>
<ds:datastoreItem xmlns:ds="http://schemas.openxmlformats.org/officeDocument/2006/customXml" ds:itemID="{B9A2B7AF-A653-4A35-907D-BF06A16B89A4}">
  <ds:schemaRefs/>
</ds:datastoreItem>
</file>

<file path=customXml/itemProps16.xml><?xml version="1.0" encoding="utf-8"?>
<ds:datastoreItem xmlns:ds="http://schemas.openxmlformats.org/officeDocument/2006/customXml" ds:itemID="{92738809-1C59-48B5-BB80-882142C92100}">
  <ds:schemaRefs/>
</ds:datastoreItem>
</file>

<file path=customXml/itemProps17.xml><?xml version="1.0" encoding="utf-8"?>
<ds:datastoreItem xmlns:ds="http://schemas.openxmlformats.org/officeDocument/2006/customXml" ds:itemID="{0C2663DE-CAC5-48DF-A3EE-714A1833FE68}">
  <ds:schemaRefs/>
</ds:datastoreItem>
</file>

<file path=customXml/itemProps18.xml><?xml version="1.0" encoding="utf-8"?>
<ds:datastoreItem xmlns:ds="http://schemas.openxmlformats.org/officeDocument/2006/customXml" ds:itemID="{8C08F88C-00EB-4D77-8729-71D2A2FFCE5D}">
  <ds:schemaRefs/>
</ds:datastoreItem>
</file>

<file path=customXml/itemProps19.xml><?xml version="1.0" encoding="utf-8"?>
<ds:datastoreItem xmlns:ds="http://schemas.openxmlformats.org/officeDocument/2006/customXml" ds:itemID="{FD5C6030-8C9D-4C7D-93ED-E81CD281E1E6}">
  <ds:schemaRefs/>
</ds:datastoreItem>
</file>

<file path=customXml/itemProps20.xml><?xml version="1.0" encoding="utf-8"?>
<ds:datastoreItem xmlns:ds="http://schemas.openxmlformats.org/officeDocument/2006/customXml" ds:itemID="{619654C7-137B-4E47-BC93-D9AC7C24BA0D}">
  <ds:schemaRefs/>
</ds:datastoreItem>
</file>

<file path=customXml/itemProps21.xml><?xml version="1.0" encoding="utf-8"?>
<ds:datastoreItem xmlns:ds="http://schemas.openxmlformats.org/officeDocument/2006/customXml" ds:itemID="{A527CA93-9D6D-4121-8144-831D0AA7B693}">
  <ds:schemaRefs/>
</ds:datastoreItem>
</file>

<file path=customXml/itemProps22.xml><?xml version="1.0" encoding="utf-8"?>
<ds:datastoreItem xmlns:ds="http://schemas.openxmlformats.org/officeDocument/2006/customXml" ds:itemID="{0BEEE4EB-D1ED-400B-A68E-F1347A7603FA}">
  <ds:schemaRefs/>
</ds:datastoreItem>
</file>

<file path=customXml/itemProps23.xml><?xml version="1.0" encoding="utf-8"?>
<ds:datastoreItem xmlns:ds="http://schemas.openxmlformats.org/officeDocument/2006/customXml" ds:itemID="{DB883BA4-EC3D-436D-A992-A784CF975A02}">
  <ds:schemaRefs/>
</ds:datastoreItem>
</file>

<file path=customXml/itemProps24.xml><?xml version="1.0" encoding="utf-8"?>
<ds:datastoreItem xmlns:ds="http://schemas.openxmlformats.org/officeDocument/2006/customXml" ds:itemID="{A5AD183C-DA38-4848-BEC5-479940470F39}">
  <ds:schemaRefs/>
</ds:datastoreItem>
</file>

<file path=customXml/itemProps25.xml><?xml version="1.0" encoding="utf-8"?>
<ds:datastoreItem xmlns:ds="http://schemas.openxmlformats.org/officeDocument/2006/customXml" ds:itemID="{C956A539-81F1-4C13-BBB1-9490D424B1CE}">
  <ds:schemaRefs/>
</ds:datastoreItem>
</file>

<file path=customXml/itemProps26.xml><?xml version="1.0" encoding="utf-8"?>
<ds:datastoreItem xmlns:ds="http://schemas.openxmlformats.org/officeDocument/2006/customXml" ds:itemID="{EBFBB4A6-5BC3-46E4-9245-3EAB9B49141F}">
  <ds:schemaRefs/>
</ds:datastoreItem>
</file>

<file path=customXml/itemProps27.xml><?xml version="1.0" encoding="utf-8"?>
<ds:datastoreItem xmlns:ds="http://schemas.openxmlformats.org/officeDocument/2006/customXml" ds:itemID="{CFF5DC17-D79E-4F4C-89F2-EEBCFDF4BBE2}">
  <ds:schemaRefs/>
</ds:datastoreItem>
</file>

<file path=customXml/itemProps28.xml><?xml version="1.0" encoding="utf-8"?>
<ds:datastoreItem xmlns:ds="http://schemas.openxmlformats.org/officeDocument/2006/customXml" ds:itemID="{4C50F778-61FE-42C9-8835-F9CB3FC04931}">
  <ds:schemaRefs/>
</ds:datastoreItem>
</file>

<file path=customXml/itemProps29.xml><?xml version="1.0" encoding="utf-8"?>
<ds:datastoreItem xmlns:ds="http://schemas.openxmlformats.org/officeDocument/2006/customXml" ds:itemID="{4FB3FC15-8FDD-44EB-B66F-D70DB2F0E226}">
  <ds:schemaRefs/>
</ds:datastoreItem>
</file>

<file path=customXml/itemProps30.xml><?xml version="1.0" encoding="utf-8"?>
<ds:datastoreItem xmlns:ds="http://schemas.openxmlformats.org/officeDocument/2006/customXml" ds:itemID="{045CD3C1-9CF4-4265-BE09-EAE5741A6559}">
  <ds:schemaRefs/>
</ds:datastoreItem>
</file>

<file path=customXml/itemProps31.xml><?xml version="1.0" encoding="utf-8"?>
<ds:datastoreItem xmlns:ds="http://schemas.openxmlformats.org/officeDocument/2006/customXml" ds:itemID="{FAEDF084-8220-4862-B967-DD776577DEC7}">
  <ds:schemaRefs/>
</ds:datastoreItem>
</file>

<file path=customXml/itemProps32.xml><?xml version="1.0" encoding="utf-8"?>
<ds:datastoreItem xmlns:ds="http://schemas.openxmlformats.org/officeDocument/2006/customXml" ds:itemID="{71273AC5-2395-48B3-AEB2-E65DD13278E5}">
  <ds:schemaRefs/>
</ds:datastoreItem>
</file>

<file path=customXml/itemProps33.xml><?xml version="1.0" encoding="utf-8"?>
<ds:datastoreItem xmlns:ds="http://schemas.openxmlformats.org/officeDocument/2006/customXml" ds:itemID="{56EFB429-C7CD-4394-AA71-A665A8A3ADC0}">
  <ds:schemaRefs/>
</ds:datastoreItem>
</file>

<file path=customXml/itemProps34.xml><?xml version="1.0" encoding="utf-8"?>
<ds:datastoreItem xmlns:ds="http://schemas.openxmlformats.org/officeDocument/2006/customXml" ds:itemID="{1EC6EC85-A068-4B9B-885D-54C075E5B9C2}">
  <ds:schemaRefs/>
</ds:datastoreItem>
</file>

<file path=customXml/itemProps35.xml><?xml version="1.0" encoding="utf-8"?>
<ds:datastoreItem xmlns:ds="http://schemas.openxmlformats.org/officeDocument/2006/customXml" ds:itemID="{7C3963AA-FA10-4E7F-AF3A-19A67F6C44A3}">
  <ds:schemaRefs/>
</ds:datastoreItem>
</file>

<file path=customXml/itemProps36.xml><?xml version="1.0" encoding="utf-8"?>
<ds:datastoreItem xmlns:ds="http://schemas.openxmlformats.org/officeDocument/2006/customXml" ds:itemID="{C2A82AE5-CCBF-4902-A289-47D3F7A62633}">
  <ds:schemaRefs/>
</ds:datastoreItem>
</file>

<file path=customXml/itemProps37.xml><?xml version="1.0" encoding="utf-8"?>
<ds:datastoreItem xmlns:ds="http://schemas.openxmlformats.org/officeDocument/2006/customXml" ds:itemID="{618047F6-76AB-42C0-9480-D41003D80705}">
  <ds:schemaRefs/>
</ds:datastoreItem>
</file>

<file path=customXml/itemProps38.xml><?xml version="1.0" encoding="utf-8"?>
<ds:datastoreItem xmlns:ds="http://schemas.openxmlformats.org/officeDocument/2006/customXml" ds:itemID="{1E25C0F5-310C-4CC3-A336-31A07E2C15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Date</vt:lpstr>
      <vt:lpstr>Sheet1</vt:lpstr>
      <vt:lpstr>Procurement Data</vt:lpstr>
      <vt:lpstr>pivot analyser</vt:lpstr>
      <vt:lpstr>dashboard</vt:lpstr>
      <vt:lpstr>Insight and 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egbeobauwaye nagbons</cp:lastModifiedBy>
  <dcterms:created xsi:type="dcterms:W3CDTF">2025-07-31T06:52:26Z</dcterms:created>
  <dcterms:modified xsi:type="dcterms:W3CDTF">2025-09-27T13:48:26Z</dcterms:modified>
</cp:coreProperties>
</file>